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RLANDI\Downloads\"/>
    </mc:Choice>
  </mc:AlternateContent>
  <bookViews>
    <workbookView xWindow="0" yWindow="0" windowWidth="16380" windowHeight="8190" tabRatio="500"/>
  </bookViews>
  <sheets>
    <sheet name="Dados Brutos" sheetId="1" r:id="rId1"/>
    <sheet name="Resumo" sheetId="2" r:id="rId2"/>
    <sheet name="Top Produtos" sheetId="3" r:id="rId3"/>
  </sheets>
  <calcPr calcId="152511" iterateDelta="1E-4"/>
</workbook>
</file>

<file path=xl/calcChain.xml><?xml version="1.0" encoding="utf-8"?>
<calcChain xmlns="http://schemas.openxmlformats.org/spreadsheetml/2006/main">
  <c r="H21" i="1" l="1"/>
  <c r="H27" i="1"/>
  <c r="H28" i="1"/>
  <c r="H89" i="1"/>
  <c r="H99" i="1"/>
  <c r="H103" i="1"/>
  <c r="H126" i="1"/>
  <c r="H147" i="1"/>
  <c r="H164" i="1"/>
  <c r="H168" i="1"/>
  <c r="H169" i="1"/>
  <c r="H179" i="1"/>
  <c r="H191" i="1"/>
  <c r="H195" i="1"/>
  <c r="H3" i="1"/>
  <c r="H5" i="1"/>
  <c r="H12" i="1"/>
  <c r="H53" i="1"/>
  <c r="H66" i="1"/>
  <c r="H78" i="1"/>
  <c r="H107" i="1"/>
  <c r="H129" i="1"/>
  <c r="H131" i="1"/>
  <c r="H138" i="1"/>
  <c r="H152" i="1"/>
  <c r="H153" i="1"/>
  <c r="H166" i="1"/>
  <c r="H172" i="1"/>
  <c r="H182" i="1"/>
  <c r="H9" i="1"/>
  <c r="H65" i="1"/>
  <c r="H84" i="1"/>
  <c r="H91" i="1"/>
  <c r="H102" i="1"/>
  <c r="H105" i="1"/>
  <c r="H162" i="1"/>
  <c r="H174" i="1"/>
  <c r="H192" i="1"/>
  <c r="H2" i="1"/>
  <c r="H23" i="1"/>
  <c r="H39" i="1"/>
  <c r="H51" i="1"/>
  <c r="H59" i="1"/>
  <c r="H77" i="1"/>
  <c r="H81" i="1"/>
  <c r="H83" i="1"/>
  <c r="H94" i="1"/>
  <c r="H122" i="1"/>
  <c r="H127" i="1"/>
  <c r="H134" i="1"/>
  <c r="H135" i="1"/>
  <c r="H136" i="1"/>
  <c r="H141" i="1"/>
  <c r="H183" i="1"/>
  <c r="H187" i="1"/>
  <c r="H198" i="1"/>
  <c r="H20" i="1"/>
  <c r="H22" i="1"/>
  <c r="H32" i="1"/>
  <c r="H35" i="1"/>
  <c r="H36" i="1"/>
  <c r="H43" i="1"/>
  <c r="H44" i="1"/>
  <c r="H46" i="1"/>
  <c r="H64" i="1"/>
  <c r="H86" i="1"/>
  <c r="H87" i="1"/>
  <c r="H114" i="1"/>
  <c r="H150" i="1"/>
  <c r="H151" i="1"/>
  <c r="H163" i="1"/>
  <c r="H165" i="1"/>
  <c r="H201" i="1"/>
  <c r="H45" i="1"/>
  <c r="H50" i="1"/>
  <c r="H60" i="1"/>
  <c r="H72" i="1"/>
  <c r="H104" i="1"/>
  <c r="H108" i="1"/>
  <c r="H112" i="1"/>
  <c r="H124" i="1"/>
  <c r="H125" i="1"/>
  <c r="H128" i="1"/>
  <c r="H154" i="1"/>
  <c r="H167" i="1"/>
  <c r="H171" i="1"/>
  <c r="H186" i="1"/>
  <c r="H188" i="1"/>
  <c r="H194" i="1"/>
  <c r="H199" i="1"/>
  <c r="H13" i="1"/>
  <c r="H19" i="1"/>
  <c r="H31" i="1"/>
  <c r="H42" i="1"/>
  <c r="H49" i="1"/>
  <c r="H67" i="1"/>
  <c r="H70" i="1"/>
  <c r="H80" i="1"/>
  <c r="H82" i="1"/>
  <c r="H96" i="1"/>
  <c r="H98" i="1"/>
  <c r="H113" i="1"/>
  <c r="H117" i="1"/>
  <c r="H119" i="1"/>
  <c r="H133" i="1"/>
  <c r="H157" i="1"/>
  <c r="H158" i="1"/>
  <c r="H184" i="1"/>
  <c r="H6" i="1"/>
  <c r="H8" i="1"/>
  <c r="H25" i="1"/>
  <c r="H30" i="1"/>
  <c r="H63" i="1"/>
  <c r="H68" i="1"/>
  <c r="H71" i="1"/>
  <c r="H73" i="1"/>
  <c r="H74" i="1"/>
  <c r="H79" i="1"/>
  <c r="H97" i="1"/>
  <c r="H121" i="1"/>
  <c r="H123" i="1"/>
  <c r="H159" i="1"/>
  <c r="H161" i="1"/>
  <c r="H173" i="1"/>
  <c r="H190" i="1"/>
  <c r="H196" i="1"/>
  <c r="H14" i="1"/>
  <c r="H17" i="1"/>
  <c r="H48" i="1"/>
  <c r="H54" i="1"/>
  <c r="H55" i="1"/>
  <c r="H62" i="1"/>
  <c r="H75" i="1"/>
  <c r="H90" i="1"/>
  <c r="H100" i="1"/>
  <c r="H111" i="1"/>
  <c r="H115" i="1"/>
  <c r="H130" i="1"/>
  <c r="H142" i="1"/>
  <c r="H148" i="1"/>
  <c r="H160" i="1"/>
  <c r="H170" i="1"/>
  <c r="H180" i="1"/>
  <c r="H193" i="1"/>
  <c r="H10" i="1"/>
  <c r="H26" i="1"/>
  <c r="H33" i="1"/>
  <c r="H34" i="1"/>
  <c r="H37" i="1"/>
  <c r="H69" i="1"/>
  <c r="H76" i="1"/>
  <c r="H88" i="1"/>
  <c r="H106" i="1"/>
  <c r="H140" i="1"/>
  <c r="H143" i="1"/>
  <c r="H144" i="1"/>
  <c r="H156" i="1"/>
  <c r="H176" i="1"/>
  <c r="H177" i="1"/>
  <c r="H185" i="1"/>
  <c r="H197" i="1"/>
  <c r="H4" i="1"/>
  <c r="H7" i="1"/>
  <c r="H11" i="1"/>
  <c r="H16" i="1"/>
  <c r="H41" i="1"/>
  <c r="H52" i="1"/>
  <c r="H85" i="1"/>
  <c r="H92" i="1"/>
  <c r="H93" i="1"/>
  <c r="H95" i="1"/>
  <c r="H109" i="1"/>
  <c r="H110" i="1"/>
  <c r="H118" i="1"/>
  <c r="H132" i="1"/>
  <c r="H137" i="1"/>
  <c r="H139" i="1"/>
  <c r="H146" i="1"/>
  <c r="H149" i="1"/>
  <c r="H155" i="1"/>
  <c r="H175" i="1"/>
  <c r="H178" i="1"/>
  <c r="H189" i="1"/>
  <c r="H200" i="1"/>
  <c r="H18" i="1"/>
  <c r="H24" i="1"/>
  <c r="H29" i="1"/>
  <c r="H38" i="1"/>
  <c r="H40" i="1"/>
  <c r="H47" i="1"/>
  <c r="H56" i="1"/>
  <c r="H57" i="1"/>
  <c r="H58" i="1"/>
  <c r="H61" i="1"/>
  <c r="H101" i="1"/>
  <c r="H116" i="1"/>
  <c r="H120" i="1"/>
  <c r="H145" i="1"/>
  <c r="H181" i="1"/>
  <c r="H15" i="1"/>
</calcChain>
</file>

<file path=xl/sharedStrings.xml><?xml version="1.0" encoding="utf-8"?>
<sst xmlns="http://schemas.openxmlformats.org/spreadsheetml/2006/main" count="1334" uniqueCount="153">
  <si>
    <t>ID</t>
  </si>
  <si>
    <t>Data</t>
  </si>
  <si>
    <t>Vendedor</t>
  </si>
  <si>
    <t>Categoria</t>
  </si>
  <si>
    <t>Produto</t>
  </si>
  <si>
    <t>Qtd</t>
  </si>
  <si>
    <t>Preco_Unit_R$</t>
  </si>
  <si>
    <t>Total_R$</t>
  </si>
  <si>
    <t>Regiao</t>
  </si>
  <si>
    <t>Status</t>
  </si>
  <si>
    <t>2026-01-01</t>
  </si>
  <si>
    <t>Felipe Nunes</t>
  </si>
  <si>
    <t>Esportes</t>
  </si>
  <si>
    <t>Halteres 5kg (par)</t>
  </si>
  <si>
    <t>Nordeste</t>
  </si>
  <si>
    <t>Pendente</t>
  </si>
  <si>
    <t>2026-01-02</t>
  </si>
  <si>
    <t>Diego Melo</t>
  </si>
  <si>
    <t>Roupas</t>
  </si>
  <si>
    <t>Jaqueta Corta-Vento</t>
  </si>
  <si>
    <t>Norte</t>
  </si>
  <si>
    <t>Concluído</t>
  </si>
  <si>
    <t>Carla Souza</t>
  </si>
  <si>
    <t>Casa</t>
  </si>
  <si>
    <t>Ventilador Arno</t>
  </si>
  <si>
    <t>Sudeste</t>
  </si>
  <si>
    <t>2026-01-06</t>
  </si>
  <si>
    <t>Eletrônicos</t>
  </si>
  <si>
    <t>Monitor LG 24"</t>
  </si>
  <si>
    <t>2026-01-08</t>
  </si>
  <si>
    <t>Air Fryer Philips</t>
  </si>
  <si>
    <t>2026-01-14</t>
  </si>
  <si>
    <t>Tapete de Yoga</t>
  </si>
  <si>
    <t>Centro-Oeste</t>
  </si>
  <si>
    <t>Cancelado</t>
  </si>
  <si>
    <t>2026-01-21</t>
  </si>
  <si>
    <t>Gabriela Torres</t>
  </si>
  <si>
    <t>Liquidificador Philips</t>
  </si>
  <si>
    <t>Sul</t>
  </si>
  <si>
    <t>2026-01-22</t>
  </si>
  <si>
    <t>Fone AirPods</t>
  </si>
  <si>
    <t>2026-01-23</t>
  </si>
  <si>
    <t>Ana Lima</t>
  </si>
  <si>
    <t>Tênis Vans Old Skool</t>
  </si>
  <si>
    <t>2026-01-26</t>
  </si>
  <si>
    <t>Eduarda Reis</t>
  </si>
  <si>
    <t>Beleza &amp; Saúde</t>
  </si>
  <si>
    <t>Kit Skincare FaceX</t>
  </si>
  <si>
    <t>Aspirador Vertical</t>
  </si>
  <si>
    <t>Secador Taiff</t>
  </si>
  <si>
    <t>2026-01-27</t>
  </si>
  <si>
    <t>Mochila Esportiva</t>
  </si>
  <si>
    <t>2026-01-28</t>
  </si>
  <si>
    <t>Celular Samsung A55</t>
  </si>
  <si>
    <t>2026-01-29</t>
  </si>
  <si>
    <t>Bruno Costa</t>
  </si>
  <si>
    <t>iPad Air</t>
  </si>
  <si>
    <t>2026-02-02</t>
  </si>
  <si>
    <t>Câmera GoPro</t>
  </si>
  <si>
    <t>2026-02-05</t>
  </si>
  <si>
    <t>Luva Boxe Everlast</t>
  </si>
  <si>
    <t>2026-02-07</t>
  </si>
  <si>
    <t>Hidratante Neutrogena</t>
  </si>
  <si>
    <t>Vestido Floral</t>
  </si>
  <si>
    <t>2026-02-16</t>
  </si>
  <si>
    <t>2026-02-17</t>
  </si>
  <si>
    <t>Teclado Mecânico</t>
  </si>
  <si>
    <t>2026-02-21</t>
  </si>
  <si>
    <t>Perfume Importado 50ml</t>
  </si>
  <si>
    <t>2026-02-23</t>
  </si>
  <si>
    <t>Jogo de Panelas 5pç</t>
  </si>
  <si>
    <t>2026-02-24</t>
  </si>
  <si>
    <t>Moletom Flanelado</t>
  </si>
  <si>
    <t>2026-02-25</t>
  </si>
  <si>
    <t>2026-02-28</t>
  </si>
  <si>
    <t>2026-03-02</t>
  </si>
  <si>
    <t>Raquete de Tênis Head</t>
  </si>
  <si>
    <t>2026-03-04</t>
  </si>
  <si>
    <t>Jaqueta Jeans</t>
  </si>
  <si>
    <t>2026-03-05</t>
  </si>
  <si>
    <t>2026-03-15</t>
  </si>
  <si>
    <t>2026-03-16</t>
  </si>
  <si>
    <t>Celular iPhone 14</t>
  </si>
  <si>
    <t>2026-03-19</t>
  </si>
  <si>
    <t>Notebook Dell</t>
  </si>
  <si>
    <t>2026-03-20</t>
  </si>
  <si>
    <t>2026-03-22</t>
  </si>
  <si>
    <t>2026-03-23</t>
  </si>
  <si>
    <t>Bicicleta Ergométrica</t>
  </si>
  <si>
    <t>2026-03-27</t>
  </si>
  <si>
    <t>Tablet Samsung</t>
  </si>
  <si>
    <t>Esteira Athletic</t>
  </si>
  <si>
    <t>2026-03-31</t>
  </si>
  <si>
    <t>2026-04-06</t>
  </si>
  <si>
    <t>2026-04-07</t>
  </si>
  <si>
    <t>Aspirador Robô</t>
  </si>
  <si>
    <t>Ferro de Passar</t>
  </si>
  <si>
    <t>2026-04-08</t>
  </si>
  <si>
    <t>Calça Jeans Reta</t>
  </si>
  <si>
    <t>2026-04-14</t>
  </si>
  <si>
    <t>Cafeteira Nespresso</t>
  </si>
  <si>
    <t>Camiseta Básica</t>
  </si>
  <si>
    <t>Panela de Pressão 6L</t>
  </si>
  <si>
    <t>Perfume Carolina Herrera 100ml</t>
  </si>
  <si>
    <t>Liquidificador Mondial</t>
  </si>
  <si>
    <t>Barbeador Elétrico</t>
  </si>
  <si>
    <t>Notebook Lenovo</t>
  </si>
  <si>
    <t>Tênis Adidas Ultraboost</t>
  </si>
  <si>
    <t>Ventilador de Teto</t>
  </si>
  <si>
    <t>Tênis Nike Air Max</t>
  </si>
  <si>
    <t>Chapinha Philco</t>
  </si>
  <si>
    <t>Fone Bluetooth JBL</t>
  </si>
  <si>
    <t>Protetor Solar FPS60</t>
  </si>
  <si>
    <t>Calça Jeans Skinny</t>
  </si>
  <si>
    <t>Camiseta Polo</t>
  </si>
  <si>
    <t>Air Fryer Mondial</t>
  </si>
  <si>
    <t>Garrafa Térmica Stanley</t>
  </si>
  <si>
    <t>📊  RESUMO EXECUTIVO DE VENDAS — TOP STORE 2026</t>
  </si>
  <si>
    <t>Total de Pedidos</t>
  </si>
  <si>
    <t>Receita Total</t>
  </si>
  <si>
    <t>Ticket Médio</t>
  </si>
  <si>
    <t>Pedidos Concluídos</t>
  </si>
  <si>
    <t>R$ 756,141.89</t>
  </si>
  <si>
    <t>R$ 3,780.71</t>
  </si>
  <si>
    <t xml:space="preserve">  VENDAS POR CATEGORIA</t>
  </si>
  <si>
    <t xml:space="preserve">  VENDAS POR VENDEDOR</t>
  </si>
  <si>
    <t>Qtd Pedidos</t>
  </si>
  <si>
    <t>Total (R$)</t>
  </si>
  <si>
    <t>% do Total</t>
  </si>
  <si>
    <t>Pedidos</t>
  </si>
  <si>
    <t>TOTAL</t>
  </si>
  <si>
    <t xml:space="preserve">  FATURAMENTO MENSAL</t>
  </si>
  <si>
    <t xml:space="preserve">  VENDAS POR REGIÃO</t>
  </si>
  <si>
    <t>Mês</t>
  </si>
  <si>
    <t>Variação %</t>
  </si>
  <si>
    <t>Região</t>
  </si>
  <si>
    <t>Janeiro</t>
  </si>
  <si>
    <t>—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</si>
  <si>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</si>
  <si>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</si>
  <si>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</si>
  <si>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</si>
  <si>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</si>
  <si>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</si>
  <si>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</si>
  <si>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</si>
  <si>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</si>
  <si>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</si>
  <si>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</si>
  <si>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🏆  TOP PRODUTOS — TOP STORE 2026</t>
  </si>
  <si>
    <t>Qtd Vendida</t>
  </si>
  <si>
    <t>Receita Total (R$)</t>
  </si>
  <si>
    <t>Preço Médio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</si>
</sst>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R$ &quot;#,##0.00"/>
    <numFmt numFmtId="165" formatCode="\+0.0%;\-0.0%;0.0%"/>
    <numFmt numFmtId="166" formatCode="\R\$\ #,##0.00"/>
  </numFmts>
  <fonts count="1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9"/>
      <name val="Arial"/>
      <charset val="1"/>
    </font>
    <font>
      <b/>
      <sz val="9"/>
      <color rgb="FF375623"/>
      <name val="Arial"/>
      <charset val="1"/>
    </font>
    <font>
      <b/>
      <sz val="9"/>
      <color rgb="FF9C0006"/>
      <name val="Arial"/>
      <charset val="1"/>
    </font>
    <font>
      <sz val="8"/>
      <color rgb="FF666666"/>
      <name val="Arial"/>
      <charset val="1"/>
    </font>
    <font>
      <b/>
      <sz val="13"/>
      <color rgb="FF1F3864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name val="Arial"/>
      <charset val="1"/>
    </font>
    <font>
      <b/>
      <sz val="13"/>
      <color rgb="FFFFFFFF"/>
      <name val="Arial"/>
      <charset val="1"/>
    </font>
    <font>
      <b/>
      <sz val="9"/>
      <color rgb="FF375623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7F6000"/>
      <name val="Arial"/>
      <family val="2"/>
    </font>
    <font>
      <b/>
      <sz val="9"/>
      <color rgb="FF9C0006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1F497D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7FC"/>
      </patternFill>
    </fill>
    <fill>
      <patternFill patternType="solid">
        <fgColor rgb="FFF2F7FC"/>
        <bgColor rgb="FFEBF3FB"/>
      </patternFill>
    </fill>
    <fill>
      <patternFill patternType="solid">
        <fgColor rgb="FFEBF3FB"/>
        <bgColor rgb="FFF2F7FC"/>
      </patternFill>
    </fill>
    <fill>
      <patternFill patternType="solid">
        <fgColor rgb="FF1F497D"/>
        <bgColor rgb="FF1F3864"/>
      </patternFill>
    </fill>
    <fill>
      <patternFill patternType="solid">
        <fgColor rgb="FFDEEAF1"/>
        <bgColor rgb="FFE2EFDA"/>
      </patternFill>
    </fill>
    <fill>
      <patternFill patternType="solid">
        <fgColor rgb="FF375623"/>
        <bgColor rgb="FF333300"/>
      </patternFill>
    </fill>
    <fill>
      <patternFill patternType="solid">
        <fgColor rgb="FF2E75B6"/>
      </patternFill>
    </fill>
    <fill>
      <patternFill patternType="solid">
        <fgColor rgb="FFF2F7F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6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48">
    <xf numFmtId="0" fontId="0" fillId="0" borderId="0" xfId="0" applyAlignment="1"/>
    <xf numFmtId="0" fontId="0" fillId="0" borderId="0" xfId="0" applyAlignment="1"/>
    <xf numFmtId="0" fontId="0" fillId="0" borderId="0" xfId="0"/>
    <xf numFmtId="0" fontId="8" fillId="3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 vertical="center"/>
    </xf>
    <xf numFmtId="10" fontId="2" fillId="5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10" fontId="2" fillId="4" borderId="2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left" vertical="center"/>
    </xf>
    <xf numFmtId="0" fontId="9" fillId="8" borderId="2" xfId="0" applyFont="1" applyFill="1" applyBorder="1" applyAlignment="1">
      <alignment horizontal="center" vertical="center"/>
    </xf>
    <xf numFmtId="164" fontId="9" fillId="8" borderId="2" xfId="0" applyNumberFormat="1" applyFont="1" applyFill="1" applyBorder="1" applyAlignment="1">
      <alignment horizontal="center" vertical="center"/>
    </xf>
    <xf numFmtId="10" fontId="9" fillId="8" borderId="2" xfId="0" applyNumberFormat="1" applyFont="1" applyFill="1" applyBorder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165" fontId="3" fillId="5" borderId="2" xfId="0" applyNumberFormat="1" applyFont="1" applyFill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13" fillId="11" borderId="4" xfId="0" applyFont="1" applyFill="1" applyBorder="1" applyAlignment="1">
      <alignment horizontal="center"/>
    </xf>
    <xf numFmtId="49" fontId="13" fillId="11" borderId="4" xfId="0" applyNumberFormat="1" applyFont="1" applyFill="1" applyBorder="1" applyAlignment="1">
      <alignment horizontal="center"/>
    </xf>
    <xf numFmtId="0" fontId="13" fillId="11" borderId="4" xfId="0" applyFont="1" applyFill="1" applyBorder="1"/>
    <xf numFmtId="166" fontId="13" fillId="11" borderId="4" xfId="0" applyNumberFormat="1" applyFont="1" applyFill="1" applyBorder="1" applyAlignment="1">
      <alignment horizontal="right"/>
    </xf>
    <xf numFmtId="0" fontId="14" fillId="12" borderId="4" xfId="0" applyFont="1" applyFill="1" applyBorder="1" applyAlignment="1">
      <alignment horizontal="center"/>
    </xf>
    <xf numFmtId="0" fontId="13" fillId="13" borderId="4" xfId="0" applyFont="1" applyFill="1" applyBorder="1" applyAlignment="1">
      <alignment horizontal="center"/>
    </xf>
    <xf numFmtId="49" fontId="13" fillId="13" borderId="4" xfId="0" applyNumberFormat="1" applyFont="1" applyFill="1" applyBorder="1" applyAlignment="1">
      <alignment horizontal="center"/>
    </xf>
    <xf numFmtId="0" fontId="13" fillId="13" borderId="4" xfId="0" applyFont="1" applyFill="1" applyBorder="1"/>
    <xf numFmtId="166" fontId="13" fillId="13" borderId="4" xfId="0" applyNumberFormat="1" applyFont="1" applyFill="1" applyBorder="1" applyAlignment="1">
      <alignment horizontal="right"/>
    </xf>
    <xf numFmtId="0" fontId="11" fillId="14" borderId="4" xfId="0" applyFont="1" applyFill="1" applyBorder="1" applyAlignment="1">
      <alignment horizontal="center"/>
    </xf>
    <xf numFmtId="0" fontId="15" fillId="15" borderId="4" xfId="0" applyFont="1" applyFill="1" applyBorder="1" applyAlignment="1">
      <alignment horizontal="center"/>
    </xf>
    <xf numFmtId="0" fontId="12" fillId="10" borderId="0" xfId="0" applyFont="1" applyFill="1" applyAlignment="1">
      <alignment horizontal="center" vertical="center"/>
    </xf>
    <xf numFmtId="0" fontId="13" fillId="13" borderId="5" xfId="0" applyFont="1" applyFill="1" applyBorder="1" applyAlignment="1">
      <alignment horizontal="center"/>
    </xf>
    <xf numFmtId="49" fontId="13" fillId="13" borderId="5" xfId="0" applyNumberFormat="1" applyFont="1" applyFill="1" applyBorder="1" applyAlignment="1">
      <alignment horizontal="center"/>
    </xf>
    <xf numFmtId="0" fontId="13" fillId="13" borderId="5" xfId="0" applyFont="1" applyFill="1" applyBorder="1"/>
    <xf numFmtId="166" fontId="13" fillId="13" borderId="5" xfId="0" applyNumberFormat="1" applyFont="1" applyFill="1" applyBorder="1" applyAlignment="1">
      <alignment horizontal="right"/>
    </xf>
    <xf numFmtId="0" fontId="11" fillId="14" borderId="5" xfId="0" applyFont="1" applyFill="1" applyBorder="1" applyAlignment="1">
      <alignment horizontal="center"/>
    </xf>
    <xf numFmtId="0" fontId="0" fillId="0" borderId="0" xfId="0" applyFont="1" applyAlignment="1"/>
    <xf numFmtId="0" fontId="7" fillId="9" borderId="0" xfId="0" applyFont="1" applyFill="1" applyAlignment="1">
      <alignment horizontal="left" vertical="center" indent="1"/>
    </xf>
    <xf numFmtId="0" fontId="0" fillId="0" borderId="0" xfId="0" applyAlignment="1"/>
    <xf numFmtId="0" fontId="7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0" fillId="0" borderId="3" xfId="0" applyBorder="1"/>
    <xf numFmtId="0" fontId="7" fillId="7" borderId="0" xfId="0" applyFont="1" applyFill="1" applyAlignment="1">
      <alignment horizontal="left" vertical="center" indent="1"/>
    </xf>
    <xf numFmtId="0" fontId="10" fillId="2" borderId="0" xfId="0" applyFont="1" applyFill="1" applyAlignment="1">
      <alignment horizontal="center" vertical="center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375623"/>
        <name val="Arial"/>
        <scheme val="none"/>
      </font>
      <fill>
        <patternFill patternType="solid">
          <fgColor indexed="64"/>
          <bgColor rgb="FFE2EFD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6" formatCode="\R\$\ #,##0.0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6" formatCode="\R\$\ #,##0.0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strike val="0"/>
        <outline val="0"/>
        <shadow val="0"/>
        <u val="none"/>
        <vertAlign val="baseline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2E75B6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CCCCCC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2F7FC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1F497D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b_vendas" displayName="tb_vendas" ref="A1:J201" totalsRowShown="0" headerRowDxfId="12" dataDxfId="11" tableBorderDxfId="10">
  <autoFilter ref="A1:J201"/>
  <sortState ref="A2:J201">
    <sortCondition ref="A1:A201"/>
  </sortState>
  <tableColumns count="10">
    <tableColumn id="1" name="ID" dataDxfId="9"/>
    <tableColumn id="2" name="Data" dataDxfId="8"/>
    <tableColumn id="3" name="Vendedor" dataDxfId="7"/>
    <tableColumn id="4" name="Categoria" dataDxfId="6"/>
    <tableColumn id="5" name="Produto" dataDxfId="5"/>
    <tableColumn id="6" name="Qtd" dataDxfId="4"/>
    <tableColumn id="7" name="Preco_Unit_R$" dataDxfId="3"/>
    <tableColumn id="8" name="Total_R$" dataDxfId="2">
      <calculatedColumnFormula>F2*G2</calculatedColumnFormula>
    </tableColumn>
    <tableColumn id="9" name="Regiao" dataDxfId="1"/>
    <tableColumn id="10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2"/>
  <sheetViews>
    <sheetView tabSelected="1" zoomScaleNormal="100" workbookViewId="0">
      <pane ySplit="1" topLeftCell="A188" activePane="bottomLeft" state="frozen"/>
      <selection pane="bottomLeft" activeCell="D205" sqref="D205"/>
    </sheetView>
  </sheetViews>
  <sheetFormatPr defaultRowHeight="15" x14ac:dyDescent="0.25"/>
  <cols>
    <col min="1" max="1" width="6" style="2" customWidth="1"/>
    <col min="2" max="2" width="12" style="2" customWidth="1"/>
    <col min="3" max="4" width="16" style="2" customWidth="1"/>
    <col min="5" max="5" width="28" style="2" customWidth="1"/>
    <col min="6" max="6" width="6.28515625" style="2" customWidth="1"/>
    <col min="7" max="7" width="16.28515625" style="2" customWidth="1"/>
    <col min="8" max="9" width="14" style="2" customWidth="1"/>
    <col min="10" max="10" width="12" style="2" customWidth="1"/>
  </cols>
  <sheetData>
    <row r="1" spans="1:11" ht="20.100000000000001" customHeight="1" x14ac:dyDescent="0.25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</row>
    <row r="2" spans="1:11" x14ac:dyDescent="0.25">
      <c r="A2" s="21">
        <v>1</v>
      </c>
      <c r="B2" s="22" t="s">
        <v>10</v>
      </c>
      <c r="C2" s="23" t="s">
        <v>11</v>
      </c>
      <c r="D2" s="23" t="s">
        <v>12</v>
      </c>
      <c r="E2" s="23" t="s">
        <v>13</v>
      </c>
      <c r="F2" s="21">
        <v>9</v>
      </c>
      <c r="G2" s="24">
        <v>118.5</v>
      </c>
      <c r="H2" s="29">
        <f t="shared" ref="H2:H33" si="0">F2*G2</f>
        <v>1066.5</v>
      </c>
      <c r="I2" s="23" t="s">
        <v>14</v>
      </c>
      <c r="J2" s="25" t="s">
        <v>15</v>
      </c>
    </row>
    <row r="3" spans="1:11" x14ac:dyDescent="0.25">
      <c r="A3" s="26">
        <v>2</v>
      </c>
      <c r="B3" s="27" t="s">
        <v>16</v>
      </c>
      <c r="C3" s="28" t="s">
        <v>17</v>
      </c>
      <c r="D3" s="28" t="s">
        <v>18</v>
      </c>
      <c r="E3" s="28" t="s">
        <v>19</v>
      </c>
      <c r="F3" s="26">
        <v>11</v>
      </c>
      <c r="G3" s="29">
        <v>283.95</v>
      </c>
      <c r="H3" s="29">
        <f t="shared" si="0"/>
        <v>3123.45</v>
      </c>
      <c r="I3" s="28" t="s">
        <v>20</v>
      </c>
      <c r="J3" s="30" t="s">
        <v>21</v>
      </c>
    </row>
    <row r="4" spans="1:11" x14ac:dyDescent="0.25">
      <c r="A4" s="21">
        <v>3</v>
      </c>
      <c r="B4" s="22" t="s">
        <v>16</v>
      </c>
      <c r="C4" s="23" t="s">
        <v>22</v>
      </c>
      <c r="D4" s="23" t="s">
        <v>23</v>
      </c>
      <c r="E4" s="23" t="s">
        <v>24</v>
      </c>
      <c r="F4" s="21">
        <v>2</v>
      </c>
      <c r="G4" s="24">
        <v>200.49</v>
      </c>
      <c r="H4" s="29">
        <f t="shared" si="0"/>
        <v>400.98</v>
      </c>
      <c r="I4" s="23" t="s">
        <v>25</v>
      </c>
      <c r="J4" s="30" t="s">
        <v>21</v>
      </c>
    </row>
    <row r="5" spans="1:11" x14ac:dyDescent="0.25">
      <c r="A5" s="26">
        <v>4</v>
      </c>
      <c r="B5" s="27" t="s">
        <v>26</v>
      </c>
      <c r="C5" s="28" t="s">
        <v>11</v>
      </c>
      <c r="D5" s="28" t="s">
        <v>27</v>
      </c>
      <c r="E5" s="28" t="s">
        <v>28</v>
      </c>
      <c r="F5" s="26">
        <v>11</v>
      </c>
      <c r="G5" s="29">
        <v>934</v>
      </c>
      <c r="H5" s="29">
        <f t="shared" si="0"/>
        <v>10274</v>
      </c>
      <c r="I5" s="28" t="s">
        <v>14</v>
      </c>
      <c r="J5" s="30" t="s">
        <v>21</v>
      </c>
      <c r="K5" s="38"/>
    </row>
    <row r="6" spans="1:11" x14ac:dyDescent="0.25">
      <c r="A6" s="21">
        <v>5</v>
      </c>
      <c r="B6" s="22" t="s">
        <v>29</v>
      </c>
      <c r="C6" s="23" t="s">
        <v>22</v>
      </c>
      <c r="D6" s="23" t="s">
        <v>23</v>
      </c>
      <c r="E6" s="23" t="s">
        <v>30</v>
      </c>
      <c r="F6" s="21">
        <v>5</v>
      </c>
      <c r="G6" s="24">
        <v>687.49</v>
      </c>
      <c r="H6" s="29">
        <f t="shared" si="0"/>
        <v>3437.45</v>
      </c>
      <c r="I6" s="23" t="s">
        <v>25</v>
      </c>
      <c r="J6" s="30" t="s">
        <v>21</v>
      </c>
    </row>
    <row r="7" spans="1:11" x14ac:dyDescent="0.25">
      <c r="A7" s="26">
        <v>6</v>
      </c>
      <c r="B7" s="27" t="s">
        <v>31</v>
      </c>
      <c r="C7" s="28" t="s">
        <v>22</v>
      </c>
      <c r="D7" s="28" t="s">
        <v>12</v>
      </c>
      <c r="E7" s="28" t="s">
        <v>32</v>
      </c>
      <c r="F7" s="26">
        <v>2</v>
      </c>
      <c r="G7" s="29">
        <v>88.5</v>
      </c>
      <c r="H7" s="29">
        <f t="shared" si="0"/>
        <v>177</v>
      </c>
      <c r="I7" s="28" t="s">
        <v>33</v>
      </c>
      <c r="J7" s="31" t="s">
        <v>34</v>
      </c>
    </row>
    <row r="8" spans="1:11" x14ac:dyDescent="0.25">
      <c r="A8" s="21">
        <v>7</v>
      </c>
      <c r="B8" s="22" t="s">
        <v>35</v>
      </c>
      <c r="C8" s="23" t="s">
        <v>36</v>
      </c>
      <c r="D8" s="23" t="s">
        <v>23</v>
      </c>
      <c r="E8" s="23" t="s">
        <v>37</v>
      </c>
      <c r="F8" s="21">
        <v>5</v>
      </c>
      <c r="G8" s="24">
        <v>320.7</v>
      </c>
      <c r="H8" s="29">
        <f t="shared" si="0"/>
        <v>1603.5</v>
      </c>
      <c r="I8" s="23" t="s">
        <v>38</v>
      </c>
      <c r="J8" s="25" t="s">
        <v>15</v>
      </c>
    </row>
    <row r="9" spans="1:11" x14ac:dyDescent="0.25">
      <c r="A9" s="26">
        <v>8</v>
      </c>
      <c r="B9" s="27" t="s">
        <v>39</v>
      </c>
      <c r="C9" s="28" t="s">
        <v>17</v>
      </c>
      <c r="D9" s="28" t="s">
        <v>27</v>
      </c>
      <c r="E9" s="28" t="s">
        <v>40</v>
      </c>
      <c r="F9" s="26">
        <v>10</v>
      </c>
      <c r="G9" s="29">
        <v>1353.9</v>
      </c>
      <c r="H9" s="29">
        <f t="shared" si="0"/>
        <v>13539</v>
      </c>
      <c r="I9" s="28" t="s">
        <v>20</v>
      </c>
      <c r="J9" s="25" t="s">
        <v>15</v>
      </c>
    </row>
    <row r="10" spans="1:11" x14ac:dyDescent="0.25">
      <c r="A10" s="21">
        <v>9</v>
      </c>
      <c r="B10" s="22" t="s">
        <v>41</v>
      </c>
      <c r="C10" s="23" t="s">
        <v>42</v>
      </c>
      <c r="D10" s="23" t="s">
        <v>18</v>
      </c>
      <c r="E10" s="23" t="s">
        <v>43</v>
      </c>
      <c r="F10" s="21">
        <v>3</v>
      </c>
      <c r="G10" s="24">
        <v>334</v>
      </c>
      <c r="H10" s="29">
        <f t="shared" si="0"/>
        <v>1002</v>
      </c>
      <c r="I10" s="23" t="s">
        <v>20</v>
      </c>
      <c r="J10" s="25" t="s">
        <v>15</v>
      </c>
    </row>
    <row r="11" spans="1:11" x14ac:dyDescent="0.25">
      <c r="A11" s="26">
        <v>10</v>
      </c>
      <c r="B11" s="27" t="s">
        <v>44</v>
      </c>
      <c r="C11" s="28" t="s">
        <v>45</v>
      </c>
      <c r="D11" s="28" t="s">
        <v>46</v>
      </c>
      <c r="E11" s="28" t="s">
        <v>47</v>
      </c>
      <c r="F11" s="26">
        <v>2</v>
      </c>
      <c r="G11" s="29">
        <v>210.95</v>
      </c>
      <c r="H11" s="29">
        <f t="shared" si="0"/>
        <v>421.9</v>
      </c>
      <c r="I11" s="28" t="s">
        <v>38</v>
      </c>
      <c r="J11" s="30" t="s">
        <v>21</v>
      </c>
    </row>
    <row r="12" spans="1:11" x14ac:dyDescent="0.25">
      <c r="A12" s="21">
        <v>11</v>
      </c>
      <c r="B12" s="22" t="s">
        <v>44</v>
      </c>
      <c r="C12" s="23" t="s">
        <v>45</v>
      </c>
      <c r="D12" s="23" t="s">
        <v>23</v>
      </c>
      <c r="E12" s="23" t="s">
        <v>48</v>
      </c>
      <c r="F12" s="21">
        <v>11</v>
      </c>
      <c r="G12" s="24">
        <v>457.7</v>
      </c>
      <c r="H12" s="29">
        <f t="shared" si="0"/>
        <v>5034.7</v>
      </c>
      <c r="I12" s="23" t="s">
        <v>33</v>
      </c>
      <c r="J12" s="25" t="s">
        <v>15</v>
      </c>
    </row>
    <row r="13" spans="1:11" x14ac:dyDescent="0.25">
      <c r="A13" s="26">
        <v>12</v>
      </c>
      <c r="B13" s="27" t="s">
        <v>44</v>
      </c>
      <c r="C13" s="28" t="s">
        <v>22</v>
      </c>
      <c r="D13" s="28" t="s">
        <v>46</v>
      </c>
      <c r="E13" s="28" t="s">
        <v>49</v>
      </c>
      <c r="F13" s="26">
        <v>6</v>
      </c>
      <c r="G13" s="29">
        <v>291</v>
      </c>
      <c r="H13" s="29">
        <f t="shared" si="0"/>
        <v>1746</v>
      </c>
      <c r="I13" s="28" t="s">
        <v>20</v>
      </c>
      <c r="J13" s="30" t="s">
        <v>21</v>
      </c>
    </row>
    <row r="14" spans="1:11" x14ac:dyDescent="0.25">
      <c r="A14" s="21">
        <v>13</v>
      </c>
      <c r="B14" s="22" t="s">
        <v>50</v>
      </c>
      <c r="C14" s="23" t="s">
        <v>22</v>
      </c>
      <c r="D14" s="23" t="s">
        <v>12</v>
      </c>
      <c r="E14" s="23" t="s">
        <v>51</v>
      </c>
      <c r="F14" s="21">
        <v>4</v>
      </c>
      <c r="G14" s="24">
        <v>147.94999999999999</v>
      </c>
      <c r="H14" s="29">
        <f t="shared" si="0"/>
        <v>591.79999999999995</v>
      </c>
      <c r="I14" s="23" t="s">
        <v>38</v>
      </c>
      <c r="J14" s="25" t="s">
        <v>15</v>
      </c>
    </row>
    <row r="15" spans="1:11" x14ac:dyDescent="0.25">
      <c r="A15" s="26">
        <v>14</v>
      </c>
      <c r="B15" s="27" t="s">
        <v>50</v>
      </c>
      <c r="C15" s="28" t="s">
        <v>11</v>
      </c>
      <c r="D15" s="28" t="s">
        <v>46</v>
      </c>
      <c r="E15" s="28" t="s">
        <v>49</v>
      </c>
      <c r="F15" s="26">
        <v>30</v>
      </c>
      <c r="G15" s="29">
        <v>301</v>
      </c>
      <c r="H15" s="29">
        <f t="shared" si="0"/>
        <v>9030</v>
      </c>
      <c r="I15" s="28" t="s">
        <v>33</v>
      </c>
      <c r="J15" s="30" t="s">
        <v>21</v>
      </c>
    </row>
    <row r="16" spans="1:11" x14ac:dyDescent="0.25">
      <c r="A16" s="21">
        <v>15</v>
      </c>
      <c r="B16" s="22" t="s">
        <v>52</v>
      </c>
      <c r="C16" s="23" t="s">
        <v>11</v>
      </c>
      <c r="D16" s="23" t="s">
        <v>27</v>
      </c>
      <c r="E16" s="23" t="s">
        <v>53</v>
      </c>
      <c r="F16" s="21">
        <v>2</v>
      </c>
      <c r="G16" s="24">
        <v>1831.9</v>
      </c>
      <c r="H16" s="29">
        <f t="shared" si="0"/>
        <v>3663.8</v>
      </c>
      <c r="I16" s="23" t="s">
        <v>38</v>
      </c>
      <c r="J16" s="30" t="s">
        <v>21</v>
      </c>
    </row>
    <row r="17" spans="1:10" x14ac:dyDescent="0.25">
      <c r="A17" s="26">
        <v>16</v>
      </c>
      <c r="B17" s="27" t="s">
        <v>54</v>
      </c>
      <c r="C17" s="28" t="s">
        <v>55</v>
      </c>
      <c r="D17" s="28" t="s">
        <v>27</v>
      </c>
      <c r="E17" s="28" t="s">
        <v>56</v>
      </c>
      <c r="F17" s="26">
        <v>4</v>
      </c>
      <c r="G17" s="29">
        <v>4553.99</v>
      </c>
      <c r="H17" s="29">
        <f t="shared" si="0"/>
        <v>18215.96</v>
      </c>
      <c r="I17" s="28" t="s">
        <v>33</v>
      </c>
      <c r="J17" s="31" t="s">
        <v>34</v>
      </c>
    </row>
    <row r="18" spans="1:10" x14ac:dyDescent="0.25">
      <c r="A18" s="21">
        <v>17</v>
      </c>
      <c r="B18" s="22" t="s">
        <v>57</v>
      </c>
      <c r="C18" s="23" t="s">
        <v>22</v>
      </c>
      <c r="D18" s="23" t="s">
        <v>27</v>
      </c>
      <c r="E18" s="23" t="s">
        <v>58</v>
      </c>
      <c r="F18" s="21">
        <v>1</v>
      </c>
      <c r="G18" s="24">
        <v>1808.5</v>
      </c>
      <c r="H18" s="29">
        <f t="shared" si="0"/>
        <v>1808.5</v>
      </c>
      <c r="I18" s="23" t="s">
        <v>25</v>
      </c>
      <c r="J18" s="31" t="s">
        <v>34</v>
      </c>
    </row>
    <row r="19" spans="1:10" x14ac:dyDescent="0.25">
      <c r="A19" s="26">
        <v>18</v>
      </c>
      <c r="B19" s="27" t="s">
        <v>59</v>
      </c>
      <c r="C19" s="28" t="s">
        <v>36</v>
      </c>
      <c r="D19" s="28" t="s">
        <v>12</v>
      </c>
      <c r="E19" s="28" t="s">
        <v>60</v>
      </c>
      <c r="F19" s="26">
        <v>6</v>
      </c>
      <c r="G19" s="29">
        <v>191.5</v>
      </c>
      <c r="H19" s="29">
        <f t="shared" si="0"/>
        <v>1149</v>
      </c>
      <c r="I19" s="28" t="s">
        <v>38</v>
      </c>
      <c r="J19" s="25" t="s">
        <v>15</v>
      </c>
    </row>
    <row r="20" spans="1:10" x14ac:dyDescent="0.25">
      <c r="A20" s="21">
        <v>19</v>
      </c>
      <c r="B20" s="22" t="s">
        <v>61</v>
      </c>
      <c r="C20" s="23" t="s">
        <v>17</v>
      </c>
      <c r="D20" s="23" t="s">
        <v>46</v>
      </c>
      <c r="E20" s="23" t="s">
        <v>62</v>
      </c>
      <c r="F20" s="21">
        <v>10</v>
      </c>
      <c r="G20" s="24">
        <v>50.8</v>
      </c>
      <c r="H20" s="29">
        <f t="shared" si="0"/>
        <v>508</v>
      </c>
      <c r="I20" s="23" t="s">
        <v>20</v>
      </c>
      <c r="J20" s="30" t="s">
        <v>21</v>
      </c>
    </row>
    <row r="21" spans="1:10" x14ac:dyDescent="0.25">
      <c r="A21" s="26">
        <v>20</v>
      </c>
      <c r="B21" s="27" t="s">
        <v>61</v>
      </c>
      <c r="C21" s="28" t="s">
        <v>17</v>
      </c>
      <c r="D21" s="28" t="s">
        <v>18</v>
      </c>
      <c r="E21" s="28" t="s">
        <v>63</v>
      </c>
      <c r="F21" s="26">
        <v>12</v>
      </c>
      <c r="G21" s="29">
        <v>186.8</v>
      </c>
      <c r="H21" s="29">
        <f t="shared" si="0"/>
        <v>2241.6000000000004</v>
      </c>
      <c r="I21" s="28" t="s">
        <v>14</v>
      </c>
      <c r="J21" s="30" t="s">
        <v>21</v>
      </c>
    </row>
    <row r="22" spans="1:10" x14ac:dyDescent="0.25">
      <c r="A22" s="21">
        <v>21</v>
      </c>
      <c r="B22" s="22" t="s">
        <v>64</v>
      </c>
      <c r="C22" s="23" t="s">
        <v>17</v>
      </c>
      <c r="D22" s="23" t="s">
        <v>27</v>
      </c>
      <c r="E22" s="23" t="s">
        <v>28</v>
      </c>
      <c r="F22" s="21">
        <v>8</v>
      </c>
      <c r="G22" s="24">
        <v>918.99</v>
      </c>
      <c r="H22" s="29">
        <f t="shared" si="0"/>
        <v>7351.92</v>
      </c>
      <c r="I22" s="23" t="s">
        <v>38</v>
      </c>
      <c r="J22" s="31" t="s">
        <v>34</v>
      </c>
    </row>
    <row r="23" spans="1:10" x14ac:dyDescent="0.25">
      <c r="A23" s="26">
        <v>22</v>
      </c>
      <c r="B23" s="27" t="s">
        <v>65</v>
      </c>
      <c r="C23" s="28" t="s">
        <v>17</v>
      </c>
      <c r="D23" s="28" t="s">
        <v>27</v>
      </c>
      <c r="E23" s="28" t="s">
        <v>66</v>
      </c>
      <c r="F23" s="26">
        <v>9</v>
      </c>
      <c r="G23" s="29">
        <v>440.49</v>
      </c>
      <c r="H23" s="29">
        <f t="shared" si="0"/>
        <v>3964.41</v>
      </c>
      <c r="I23" s="28" t="s">
        <v>25</v>
      </c>
      <c r="J23" s="25" t="s">
        <v>15</v>
      </c>
    </row>
    <row r="24" spans="1:10" x14ac:dyDescent="0.25">
      <c r="A24" s="21">
        <v>23</v>
      </c>
      <c r="B24" s="22" t="s">
        <v>67</v>
      </c>
      <c r="C24" s="23" t="s">
        <v>36</v>
      </c>
      <c r="D24" s="23" t="s">
        <v>46</v>
      </c>
      <c r="E24" s="23" t="s">
        <v>68</v>
      </c>
      <c r="F24" s="21">
        <v>1</v>
      </c>
      <c r="G24" s="24">
        <v>250.7</v>
      </c>
      <c r="H24" s="29">
        <f t="shared" si="0"/>
        <v>250.7</v>
      </c>
      <c r="I24" s="23" t="s">
        <v>38</v>
      </c>
      <c r="J24" s="30" t="s">
        <v>21</v>
      </c>
    </row>
    <row r="25" spans="1:10" x14ac:dyDescent="0.25">
      <c r="A25" s="26">
        <v>24</v>
      </c>
      <c r="B25" s="27" t="s">
        <v>69</v>
      </c>
      <c r="C25" s="28" t="s">
        <v>36</v>
      </c>
      <c r="D25" s="28" t="s">
        <v>23</v>
      </c>
      <c r="E25" s="28" t="s">
        <v>70</v>
      </c>
      <c r="F25" s="26">
        <v>5</v>
      </c>
      <c r="G25" s="29">
        <v>287.7</v>
      </c>
      <c r="H25" s="29">
        <f t="shared" si="0"/>
        <v>1438.5</v>
      </c>
      <c r="I25" s="28" t="s">
        <v>20</v>
      </c>
      <c r="J25" s="31" t="s">
        <v>34</v>
      </c>
    </row>
    <row r="26" spans="1:10" x14ac:dyDescent="0.25">
      <c r="A26" s="21">
        <v>25</v>
      </c>
      <c r="B26" s="22" t="s">
        <v>71</v>
      </c>
      <c r="C26" s="23" t="s">
        <v>36</v>
      </c>
      <c r="D26" s="23" t="s">
        <v>18</v>
      </c>
      <c r="E26" s="23" t="s">
        <v>72</v>
      </c>
      <c r="F26" s="21">
        <v>3</v>
      </c>
      <c r="G26" s="24">
        <v>140.5</v>
      </c>
      <c r="H26" s="29">
        <f t="shared" si="0"/>
        <v>421.5</v>
      </c>
      <c r="I26" s="23" t="s">
        <v>14</v>
      </c>
      <c r="J26" s="31" t="s">
        <v>34</v>
      </c>
    </row>
    <row r="27" spans="1:10" x14ac:dyDescent="0.25">
      <c r="A27" s="26">
        <v>26</v>
      </c>
      <c r="B27" s="27" t="s">
        <v>71</v>
      </c>
      <c r="C27" s="28" t="s">
        <v>17</v>
      </c>
      <c r="D27" s="28" t="s">
        <v>18</v>
      </c>
      <c r="E27" s="28" t="s">
        <v>72</v>
      </c>
      <c r="F27" s="26">
        <v>13</v>
      </c>
      <c r="G27" s="29">
        <v>145.69999999999999</v>
      </c>
      <c r="H27" s="29">
        <f t="shared" si="0"/>
        <v>1894.1</v>
      </c>
      <c r="I27" s="28" t="s">
        <v>38</v>
      </c>
      <c r="J27" s="30" t="s">
        <v>21</v>
      </c>
    </row>
    <row r="28" spans="1:10" x14ac:dyDescent="0.25">
      <c r="A28" s="21">
        <v>27</v>
      </c>
      <c r="B28" s="22" t="s">
        <v>73</v>
      </c>
      <c r="C28" s="23" t="s">
        <v>17</v>
      </c>
      <c r="D28" s="23" t="s">
        <v>12</v>
      </c>
      <c r="E28" s="23" t="s">
        <v>60</v>
      </c>
      <c r="F28" s="21">
        <v>12</v>
      </c>
      <c r="G28" s="24">
        <v>198.9</v>
      </c>
      <c r="H28" s="29">
        <f t="shared" si="0"/>
        <v>2386.8000000000002</v>
      </c>
      <c r="I28" s="23" t="s">
        <v>33</v>
      </c>
      <c r="J28" s="30" t="s">
        <v>21</v>
      </c>
    </row>
    <row r="29" spans="1:10" x14ac:dyDescent="0.25">
      <c r="A29" s="26">
        <v>28</v>
      </c>
      <c r="B29" s="27" t="s">
        <v>74</v>
      </c>
      <c r="C29" s="28" t="s">
        <v>17</v>
      </c>
      <c r="D29" s="28" t="s">
        <v>12</v>
      </c>
      <c r="E29" s="28" t="s">
        <v>60</v>
      </c>
      <c r="F29" s="26">
        <v>1</v>
      </c>
      <c r="G29" s="29">
        <v>185.8</v>
      </c>
      <c r="H29" s="29">
        <f t="shared" si="0"/>
        <v>185.8</v>
      </c>
      <c r="I29" s="28" t="s">
        <v>33</v>
      </c>
      <c r="J29" s="30" t="s">
        <v>21</v>
      </c>
    </row>
    <row r="30" spans="1:10" x14ac:dyDescent="0.25">
      <c r="A30" s="21">
        <v>29</v>
      </c>
      <c r="B30" s="22" t="s">
        <v>75</v>
      </c>
      <c r="C30" s="23" t="s">
        <v>11</v>
      </c>
      <c r="D30" s="23" t="s">
        <v>12</v>
      </c>
      <c r="E30" s="23" t="s">
        <v>76</v>
      </c>
      <c r="F30" s="21">
        <v>5</v>
      </c>
      <c r="G30" s="24">
        <v>339.7</v>
      </c>
      <c r="H30" s="29">
        <f t="shared" si="0"/>
        <v>1698.5</v>
      </c>
      <c r="I30" s="23" t="s">
        <v>33</v>
      </c>
      <c r="J30" s="31" t="s">
        <v>34</v>
      </c>
    </row>
    <row r="31" spans="1:10" x14ac:dyDescent="0.25">
      <c r="A31" s="26">
        <v>30</v>
      </c>
      <c r="B31" s="27" t="s">
        <v>77</v>
      </c>
      <c r="C31" s="28" t="s">
        <v>11</v>
      </c>
      <c r="D31" s="28" t="s">
        <v>18</v>
      </c>
      <c r="E31" s="28" t="s">
        <v>78</v>
      </c>
      <c r="F31" s="26">
        <v>6</v>
      </c>
      <c r="G31" s="29">
        <v>245.8</v>
      </c>
      <c r="H31" s="29">
        <f t="shared" si="0"/>
        <v>1474.8000000000002</v>
      </c>
      <c r="I31" s="28" t="s">
        <v>20</v>
      </c>
      <c r="J31" s="31" t="s">
        <v>34</v>
      </c>
    </row>
    <row r="32" spans="1:10" x14ac:dyDescent="0.25">
      <c r="A32" s="21">
        <v>31</v>
      </c>
      <c r="B32" s="22" t="s">
        <v>79</v>
      </c>
      <c r="C32" s="23" t="s">
        <v>11</v>
      </c>
      <c r="D32" s="23" t="s">
        <v>46</v>
      </c>
      <c r="E32" s="23" t="s">
        <v>68</v>
      </c>
      <c r="F32" s="21">
        <v>8</v>
      </c>
      <c r="G32" s="24">
        <v>259</v>
      </c>
      <c r="H32" s="29">
        <f t="shared" si="0"/>
        <v>2072</v>
      </c>
      <c r="I32" s="23" t="s">
        <v>20</v>
      </c>
      <c r="J32" s="30" t="s">
        <v>21</v>
      </c>
    </row>
    <row r="33" spans="1:10" x14ac:dyDescent="0.25">
      <c r="A33" s="26">
        <v>32</v>
      </c>
      <c r="B33" s="27" t="s">
        <v>80</v>
      </c>
      <c r="C33" s="28" t="s">
        <v>55</v>
      </c>
      <c r="D33" s="28" t="s">
        <v>12</v>
      </c>
      <c r="E33" s="28" t="s">
        <v>32</v>
      </c>
      <c r="F33" s="26">
        <v>3</v>
      </c>
      <c r="G33" s="29">
        <v>90.49</v>
      </c>
      <c r="H33" s="29">
        <f t="shared" si="0"/>
        <v>271.46999999999997</v>
      </c>
      <c r="I33" s="28" t="s">
        <v>38</v>
      </c>
      <c r="J33" s="30" t="s">
        <v>21</v>
      </c>
    </row>
    <row r="34" spans="1:10" x14ac:dyDescent="0.25">
      <c r="A34" s="21">
        <v>33</v>
      </c>
      <c r="B34" s="22" t="s">
        <v>81</v>
      </c>
      <c r="C34" s="23" t="s">
        <v>11</v>
      </c>
      <c r="D34" s="23" t="s">
        <v>27</v>
      </c>
      <c r="E34" s="23" t="s">
        <v>82</v>
      </c>
      <c r="F34" s="21">
        <v>3</v>
      </c>
      <c r="G34" s="24">
        <v>4418.5</v>
      </c>
      <c r="H34" s="29">
        <f t="shared" ref="H34:H65" si="1">F34*G34</f>
        <v>13255.5</v>
      </c>
      <c r="I34" s="23" t="s">
        <v>33</v>
      </c>
      <c r="J34" s="30" t="s">
        <v>21</v>
      </c>
    </row>
    <row r="35" spans="1:10" x14ac:dyDescent="0.25">
      <c r="A35" s="26">
        <v>34</v>
      </c>
      <c r="B35" s="27" t="s">
        <v>83</v>
      </c>
      <c r="C35" s="28" t="s">
        <v>17</v>
      </c>
      <c r="D35" s="28" t="s">
        <v>18</v>
      </c>
      <c r="E35" s="28" t="s">
        <v>78</v>
      </c>
      <c r="F35" s="26">
        <v>8</v>
      </c>
      <c r="G35" s="29">
        <v>255.8</v>
      </c>
      <c r="H35" s="29">
        <f t="shared" si="1"/>
        <v>2046.4</v>
      </c>
      <c r="I35" s="28" t="s">
        <v>20</v>
      </c>
      <c r="J35" s="30" t="s">
        <v>21</v>
      </c>
    </row>
    <row r="36" spans="1:10" x14ac:dyDescent="0.25">
      <c r="A36" s="21">
        <v>35</v>
      </c>
      <c r="B36" s="22" t="s">
        <v>83</v>
      </c>
      <c r="C36" s="23" t="s">
        <v>36</v>
      </c>
      <c r="D36" s="23" t="s">
        <v>27</v>
      </c>
      <c r="E36" s="23" t="s">
        <v>84</v>
      </c>
      <c r="F36" s="21">
        <v>8</v>
      </c>
      <c r="G36" s="24">
        <v>3971.7</v>
      </c>
      <c r="H36" s="29">
        <f t="shared" si="1"/>
        <v>31773.599999999999</v>
      </c>
      <c r="I36" s="23" t="s">
        <v>33</v>
      </c>
      <c r="J36" s="31" t="s">
        <v>34</v>
      </c>
    </row>
    <row r="37" spans="1:10" x14ac:dyDescent="0.25">
      <c r="A37" s="26">
        <v>36</v>
      </c>
      <c r="B37" s="27" t="s">
        <v>85</v>
      </c>
      <c r="C37" s="28" t="s">
        <v>55</v>
      </c>
      <c r="D37" s="28" t="s">
        <v>23</v>
      </c>
      <c r="E37" s="28" t="s">
        <v>24</v>
      </c>
      <c r="F37" s="26">
        <v>3</v>
      </c>
      <c r="G37" s="29">
        <v>207.9</v>
      </c>
      <c r="H37" s="29">
        <f t="shared" si="1"/>
        <v>623.70000000000005</v>
      </c>
      <c r="I37" s="28" t="s">
        <v>14</v>
      </c>
      <c r="J37" s="30" t="s">
        <v>21</v>
      </c>
    </row>
    <row r="38" spans="1:10" x14ac:dyDescent="0.25">
      <c r="A38" s="21">
        <v>37</v>
      </c>
      <c r="B38" s="22" t="s">
        <v>85</v>
      </c>
      <c r="C38" s="23" t="s">
        <v>17</v>
      </c>
      <c r="D38" s="23" t="s">
        <v>27</v>
      </c>
      <c r="E38" s="23" t="s">
        <v>40</v>
      </c>
      <c r="F38" s="21">
        <v>1</v>
      </c>
      <c r="G38" s="24">
        <v>1314</v>
      </c>
      <c r="H38" s="29">
        <f t="shared" si="1"/>
        <v>1314</v>
      </c>
      <c r="I38" s="23" t="s">
        <v>14</v>
      </c>
      <c r="J38" s="30" t="s">
        <v>21</v>
      </c>
    </row>
    <row r="39" spans="1:10" x14ac:dyDescent="0.25">
      <c r="A39" s="26">
        <v>38</v>
      </c>
      <c r="B39" s="27" t="s">
        <v>86</v>
      </c>
      <c r="C39" s="28" t="s">
        <v>36</v>
      </c>
      <c r="D39" s="28" t="s">
        <v>46</v>
      </c>
      <c r="E39" s="28" t="s">
        <v>68</v>
      </c>
      <c r="F39" s="26">
        <v>9</v>
      </c>
      <c r="G39" s="29">
        <v>247.7</v>
      </c>
      <c r="H39" s="29">
        <f t="shared" si="1"/>
        <v>2229.2999999999997</v>
      </c>
      <c r="I39" s="28" t="s">
        <v>14</v>
      </c>
      <c r="J39" s="25" t="s">
        <v>15</v>
      </c>
    </row>
    <row r="40" spans="1:10" x14ac:dyDescent="0.25">
      <c r="A40" s="21">
        <v>39</v>
      </c>
      <c r="B40" s="22" t="s">
        <v>87</v>
      </c>
      <c r="C40" s="23" t="s">
        <v>45</v>
      </c>
      <c r="D40" s="23" t="s">
        <v>12</v>
      </c>
      <c r="E40" s="23" t="s">
        <v>88</v>
      </c>
      <c r="F40" s="21">
        <v>1</v>
      </c>
      <c r="G40" s="24">
        <v>1312.7</v>
      </c>
      <c r="H40" s="29">
        <f t="shared" si="1"/>
        <v>1312.7</v>
      </c>
      <c r="I40" s="23" t="s">
        <v>25</v>
      </c>
      <c r="J40" s="30" t="s">
        <v>21</v>
      </c>
    </row>
    <row r="41" spans="1:10" x14ac:dyDescent="0.25">
      <c r="A41" s="26">
        <v>40</v>
      </c>
      <c r="B41" s="27" t="s">
        <v>89</v>
      </c>
      <c r="C41" s="28" t="s">
        <v>11</v>
      </c>
      <c r="D41" s="28" t="s">
        <v>27</v>
      </c>
      <c r="E41" s="28" t="s">
        <v>90</v>
      </c>
      <c r="F41" s="26">
        <v>2</v>
      </c>
      <c r="G41" s="29">
        <v>1351.9</v>
      </c>
      <c r="H41" s="29">
        <f t="shared" si="1"/>
        <v>2703.8</v>
      </c>
      <c r="I41" s="28" t="s">
        <v>38</v>
      </c>
      <c r="J41" s="25" t="s">
        <v>15</v>
      </c>
    </row>
    <row r="42" spans="1:10" x14ac:dyDescent="0.25">
      <c r="A42" s="21">
        <v>41</v>
      </c>
      <c r="B42" s="22" t="s">
        <v>89</v>
      </c>
      <c r="C42" s="23" t="s">
        <v>42</v>
      </c>
      <c r="D42" s="23" t="s">
        <v>12</v>
      </c>
      <c r="E42" s="23" t="s">
        <v>91</v>
      </c>
      <c r="F42" s="21">
        <v>6</v>
      </c>
      <c r="G42" s="24">
        <v>2507.5</v>
      </c>
      <c r="H42" s="29">
        <f t="shared" si="1"/>
        <v>15045</v>
      </c>
      <c r="I42" s="23" t="s">
        <v>14</v>
      </c>
      <c r="J42" s="31" t="s">
        <v>34</v>
      </c>
    </row>
    <row r="43" spans="1:10" x14ac:dyDescent="0.25">
      <c r="A43" s="26">
        <v>42</v>
      </c>
      <c r="B43" s="27" t="s">
        <v>92</v>
      </c>
      <c r="C43" s="28" t="s">
        <v>11</v>
      </c>
      <c r="D43" s="28" t="s">
        <v>12</v>
      </c>
      <c r="E43" s="28" t="s">
        <v>51</v>
      </c>
      <c r="F43" s="26">
        <v>8</v>
      </c>
      <c r="G43" s="29">
        <v>151.94999999999999</v>
      </c>
      <c r="H43" s="29">
        <f t="shared" si="1"/>
        <v>1215.5999999999999</v>
      </c>
      <c r="I43" s="28" t="s">
        <v>20</v>
      </c>
      <c r="J43" s="30" t="s">
        <v>21</v>
      </c>
    </row>
    <row r="44" spans="1:10" x14ac:dyDescent="0.25">
      <c r="A44" s="21">
        <v>43</v>
      </c>
      <c r="B44" s="22" t="s">
        <v>93</v>
      </c>
      <c r="C44" s="23" t="s">
        <v>22</v>
      </c>
      <c r="D44" s="23" t="s">
        <v>12</v>
      </c>
      <c r="E44" s="23" t="s">
        <v>13</v>
      </c>
      <c r="F44" s="21">
        <v>8</v>
      </c>
      <c r="G44" s="24">
        <v>119.9</v>
      </c>
      <c r="H44" s="29">
        <f t="shared" si="1"/>
        <v>959.2</v>
      </c>
      <c r="I44" s="23" t="s">
        <v>25</v>
      </c>
      <c r="J44" s="30" t="s">
        <v>21</v>
      </c>
    </row>
    <row r="45" spans="1:10" x14ac:dyDescent="0.25">
      <c r="A45" s="26">
        <v>44</v>
      </c>
      <c r="B45" s="27" t="s">
        <v>94</v>
      </c>
      <c r="C45" s="28" t="s">
        <v>42</v>
      </c>
      <c r="D45" s="28" t="s">
        <v>27</v>
      </c>
      <c r="E45" s="28" t="s">
        <v>28</v>
      </c>
      <c r="F45" s="26">
        <v>7</v>
      </c>
      <c r="G45" s="29">
        <v>893.8</v>
      </c>
      <c r="H45" s="29">
        <f t="shared" si="1"/>
        <v>6256.5999999999995</v>
      </c>
      <c r="I45" s="28" t="s">
        <v>20</v>
      </c>
      <c r="J45" s="31" t="s">
        <v>34</v>
      </c>
    </row>
    <row r="46" spans="1:10" x14ac:dyDescent="0.25">
      <c r="A46" s="21">
        <v>45</v>
      </c>
      <c r="B46" s="22" t="s">
        <v>94</v>
      </c>
      <c r="C46" s="23" t="s">
        <v>45</v>
      </c>
      <c r="D46" s="23" t="s">
        <v>46</v>
      </c>
      <c r="E46" s="23" t="s">
        <v>47</v>
      </c>
      <c r="F46" s="21">
        <v>30</v>
      </c>
      <c r="G46" s="24">
        <v>218</v>
      </c>
      <c r="H46" s="29">
        <f t="shared" si="1"/>
        <v>6540</v>
      </c>
      <c r="I46" s="23" t="s">
        <v>38</v>
      </c>
      <c r="J46" s="30" t="s">
        <v>21</v>
      </c>
    </row>
    <row r="47" spans="1:10" x14ac:dyDescent="0.25">
      <c r="A47" s="26">
        <v>46</v>
      </c>
      <c r="B47" s="27" t="s">
        <v>94</v>
      </c>
      <c r="C47" s="28" t="s">
        <v>22</v>
      </c>
      <c r="D47" s="28" t="s">
        <v>23</v>
      </c>
      <c r="E47" s="28" t="s">
        <v>95</v>
      </c>
      <c r="F47" s="26">
        <v>1</v>
      </c>
      <c r="G47" s="29">
        <v>907.95</v>
      </c>
      <c r="H47" s="29">
        <f t="shared" si="1"/>
        <v>907.95</v>
      </c>
      <c r="I47" s="28" t="s">
        <v>14</v>
      </c>
      <c r="J47" s="30" t="s">
        <v>21</v>
      </c>
    </row>
    <row r="48" spans="1:10" x14ac:dyDescent="0.25">
      <c r="A48" s="21">
        <v>47</v>
      </c>
      <c r="B48" s="22" t="s">
        <v>94</v>
      </c>
      <c r="C48" s="23" t="s">
        <v>42</v>
      </c>
      <c r="D48" s="23" t="s">
        <v>23</v>
      </c>
      <c r="E48" s="23" t="s">
        <v>96</v>
      </c>
      <c r="F48" s="21">
        <v>4</v>
      </c>
      <c r="G48" s="24">
        <v>148.94999999999999</v>
      </c>
      <c r="H48" s="29">
        <f t="shared" si="1"/>
        <v>595.79999999999995</v>
      </c>
      <c r="I48" s="23" t="s">
        <v>20</v>
      </c>
      <c r="J48" s="25" t="s">
        <v>15</v>
      </c>
    </row>
    <row r="49" spans="1:10" x14ac:dyDescent="0.25">
      <c r="A49" s="26">
        <v>48</v>
      </c>
      <c r="B49" s="27" t="s">
        <v>97</v>
      </c>
      <c r="C49" s="28" t="s">
        <v>17</v>
      </c>
      <c r="D49" s="28" t="s">
        <v>18</v>
      </c>
      <c r="E49" s="28" t="s">
        <v>98</v>
      </c>
      <c r="F49" s="26">
        <v>6</v>
      </c>
      <c r="G49" s="29">
        <v>165</v>
      </c>
      <c r="H49" s="29">
        <f t="shared" si="1"/>
        <v>990</v>
      </c>
      <c r="I49" s="28" t="s">
        <v>33</v>
      </c>
      <c r="J49" s="30" t="s">
        <v>21</v>
      </c>
    </row>
    <row r="50" spans="1:10" x14ac:dyDescent="0.25">
      <c r="A50" s="21">
        <v>49</v>
      </c>
      <c r="B50" s="22" t="s">
        <v>99</v>
      </c>
      <c r="C50" s="23" t="s">
        <v>11</v>
      </c>
      <c r="D50" s="23" t="s">
        <v>23</v>
      </c>
      <c r="E50" s="23" t="s">
        <v>100</v>
      </c>
      <c r="F50" s="21">
        <v>7</v>
      </c>
      <c r="G50" s="24">
        <v>624.95000000000005</v>
      </c>
      <c r="H50" s="29">
        <f t="shared" si="1"/>
        <v>4374.6500000000005</v>
      </c>
      <c r="I50" s="23" t="s">
        <v>33</v>
      </c>
      <c r="J50" s="31" t="s">
        <v>34</v>
      </c>
    </row>
    <row r="51" spans="1:10" x14ac:dyDescent="0.25">
      <c r="A51" s="26">
        <v>50</v>
      </c>
      <c r="B51" s="27" t="s">
        <v>99</v>
      </c>
      <c r="C51" s="28" t="s">
        <v>22</v>
      </c>
      <c r="D51" s="28" t="s">
        <v>18</v>
      </c>
      <c r="E51" s="28" t="s">
        <v>101</v>
      </c>
      <c r="F51" s="26">
        <v>9</v>
      </c>
      <c r="G51" s="29">
        <v>58</v>
      </c>
      <c r="H51" s="29">
        <f t="shared" si="1"/>
        <v>522</v>
      </c>
      <c r="I51" s="28" t="s">
        <v>25</v>
      </c>
      <c r="J51" s="30" t="s">
        <v>21</v>
      </c>
    </row>
    <row r="52" spans="1:10" x14ac:dyDescent="0.25">
      <c r="A52" s="21">
        <v>51</v>
      </c>
      <c r="B52" s="22" t="s">
        <v>99</v>
      </c>
      <c r="C52" s="23" t="s">
        <v>55</v>
      </c>
      <c r="D52" s="23" t="s">
        <v>12</v>
      </c>
      <c r="E52" s="23" t="s">
        <v>13</v>
      </c>
      <c r="F52" s="21">
        <v>2</v>
      </c>
      <c r="G52" s="24">
        <v>115.9</v>
      </c>
      <c r="H52" s="29">
        <f t="shared" si="1"/>
        <v>231.8</v>
      </c>
      <c r="I52" s="23" t="s">
        <v>38</v>
      </c>
      <c r="J52" s="25" t="s">
        <v>15</v>
      </c>
    </row>
    <row r="53" spans="1:10" x14ac:dyDescent="0.25">
      <c r="A53" s="26">
        <v>52</v>
      </c>
      <c r="B53" s="27" t="s">
        <v>99</v>
      </c>
      <c r="C53" s="28" t="s">
        <v>11</v>
      </c>
      <c r="D53" s="28" t="s">
        <v>23</v>
      </c>
      <c r="E53" s="28" t="s">
        <v>30</v>
      </c>
      <c r="F53" s="26">
        <v>11</v>
      </c>
      <c r="G53" s="29">
        <v>682.49</v>
      </c>
      <c r="H53" s="29">
        <f t="shared" si="1"/>
        <v>7507.39</v>
      </c>
      <c r="I53" s="28" t="s">
        <v>25</v>
      </c>
      <c r="J53" s="25" t="s">
        <v>15</v>
      </c>
    </row>
    <row r="54" spans="1:10" x14ac:dyDescent="0.25">
      <c r="A54" s="21">
        <v>53</v>
      </c>
      <c r="B54" s="22" t="s">
        <v>99</v>
      </c>
      <c r="C54" s="23" t="s">
        <v>17</v>
      </c>
      <c r="D54" s="23" t="s">
        <v>12</v>
      </c>
      <c r="E54" s="23" t="s">
        <v>88</v>
      </c>
      <c r="F54" s="21">
        <v>4</v>
      </c>
      <c r="G54" s="24">
        <v>1235</v>
      </c>
      <c r="H54" s="29">
        <f t="shared" si="1"/>
        <v>4940</v>
      </c>
      <c r="I54" s="23" t="s">
        <v>38</v>
      </c>
      <c r="J54" s="31" t="s">
        <v>34</v>
      </c>
    </row>
    <row r="55" spans="1:10" x14ac:dyDescent="0.25">
      <c r="A55" s="26">
        <v>54</v>
      </c>
      <c r="B55" s="27" t="s">
        <v>99</v>
      </c>
      <c r="C55" s="28" t="s">
        <v>55</v>
      </c>
      <c r="D55" s="28" t="s">
        <v>46</v>
      </c>
      <c r="E55" s="28" t="s">
        <v>49</v>
      </c>
      <c r="F55" s="26">
        <v>4</v>
      </c>
      <c r="G55" s="29">
        <v>294</v>
      </c>
      <c r="H55" s="29">
        <f t="shared" si="1"/>
        <v>1176</v>
      </c>
      <c r="I55" s="28" t="s">
        <v>25</v>
      </c>
      <c r="J55" s="25" t="s">
        <v>15</v>
      </c>
    </row>
    <row r="56" spans="1:10" x14ac:dyDescent="0.25">
      <c r="A56" s="21">
        <v>55</v>
      </c>
      <c r="B56" s="22" t="s">
        <v>99</v>
      </c>
      <c r="C56" s="23" t="s">
        <v>36</v>
      </c>
      <c r="D56" s="23" t="s">
        <v>46</v>
      </c>
      <c r="E56" s="23" t="s">
        <v>49</v>
      </c>
      <c r="F56" s="21">
        <v>1</v>
      </c>
      <c r="G56" s="24">
        <v>312</v>
      </c>
      <c r="H56" s="29">
        <f t="shared" si="1"/>
        <v>312</v>
      </c>
      <c r="I56" s="23" t="s">
        <v>20</v>
      </c>
      <c r="J56" s="30" t="s">
        <v>21</v>
      </c>
    </row>
    <row r="57" spans="1:10" x14ac:dyDescent="0.25">
      <c r="A57" s="26">
        <v>56</v>
      </c>
      <c r="B57" s="27" t="s">
        <v>99</v>
      </c>
      <c r="C57" s="28" t="s">
        <v>11</v>
      </c>
      <c r="D57" s="28" t="s">
        <v>23</v>
      </c>
      <c r="E57" s="28" t="s">
        <v>102</v>
      </c>
      <c r="F57" s="26">
        <v>1</v>
      </c>
      <c r="G57" s="29">
        <v>144.99</v>
      </c>
      <c r="H57" s="29">
        <f t="shared" si="1"/>
        <v>144.99</v>
      </c>
      <c r="I57" s="28" t="s">
        <v>38</v>
      </c>
      <c r="J57" s="30" t="s">
        <v>21</v>
      </c>
    </row>
    <row r="58" spans="1:10" x14ac:dyDescent="0.25">
      <c r="A58" s="21">
        <v>57</v>
      </c>
      <c r="B58" s="22" t="s">
        <v>99</v>
      </c>
      <c r="C58" s="23" t="s">
        <v>36</v>
      </c>
      <c r="D58" s="23" t="s">
        <v>46</v>
      </c>
      <c r="E58" s="23" t="s">
        <v>103</v>
      </c>
      <c r="F58" s="21">
        <v>1</v>
      </c>
      <c r="G58" s="24">
        <v>404</v>
      </c>
      <c r="H58" s="29">
        <f t="shared" si="1"/>
        <v>404</v>
      </c>
      <c r="I58" s="23" t="s">
        <v>38</v>
      </c>
      <c r="J58" s="30" t="s">
        <v>21</v>
      </c>
    </row>
    <row r="59" spans="1:10" x14ac:dyDescent="0.25">
      <c r="A59" s="26">
        <v>58</v>
      </c>
      <c r="B59" s="27" t="s">
        <v>99</v>
      </c>
      <c r="C59" s="28" t="s">
        <v>55</v>
      </c>
      <c r="D59" s="28" t="s">
        <v>23</v>
      </c>
      <c r="E59" s="28" t="s">
        <v>48</v>
      </c>
      <c r="F59" s="26">
        <v>9</v>
      </c>
      <c r="G59" s="29">
        <v>450.99</v>
      </c>
      <c r="H59" s="29">
        <f t="shared" si="1"/>
        <v>4058.91</v>
      </c>
      <c r="I59" s="28" t="s">
        <v>33</v>
      </c>
      <c r="J59" s="31" t="s">
        <v>34</v>
      </c>
    </row>
    <row r="60" spans="1:10" x14ac:dyDescent="0.25">
      <c r="A60" s="21">
        <v>59</v>
      </c>
      <c r="B60" s="22" t="s">
        <v>99</v>
      </c>
      <c r="C60" s="23" t="s">
        <v>45</v>
      </c>
      <c r="D60" s="23" t="s">
        <v>23</v>
      </c>
      <c r="E60" s="23" t="s">
        <v>104</v>
      </c>
      <c r="F60" s="21">
        <v>7</v>
      </c>
      <c r="G60" s="24">
        <v>189.95</v>
      </c>
      <c r="H60" s="29">
        <f t="shared" si="1"/>
        <v>1329.6499999999999</v>
      </c>
      <c r="I60" s="23" t="s">
        <v>33</v>
      </c>
      <c r="J60" s="31" t="s">
        <v>34</v>
      </c>
    </row>
    <row r="61" spans="1:10" x14ac:dyDescent="0.25">
      <c r="A61" s="26">
        <v>60</v>
      </c>
      <c r="B61" s="27" t="s">
        <v>99</v>
      </c>
      <c r="C61" s="28" t="s">
        <v>55</v>
      </c>
      <c r="D61" s="28" t="s">
        <v>46</v>
      </c>
      <c r="E61" s="28" t="s">
        <v>105</v>
      </c>
      <c r="F61" s="26">
        <v>1</v>
      </c>
      <c r="G61" s="29">
        <v>249.8</v>
      </c>
      <c r="H61" s="29">
        <f t="shared" si="1"/>
        <v>249.8</v>
      </c>
      <c r="I61" s="28" t="s">
        <v>38</v>
      </c>
      <c r="J61" s="30" t="s">
        <v>21</v>
      </c>
    </row>
    <row r="62" spans="1:10" x14ac:dyDescent="0.25">
      <c r="A62" s="21">
        <v>61</v>
      </c>
      <c r="B62" s="22" t="s">
        <v>99</v>
      </c>
      <c r="C62" s="23" t="s">
        <v>17</v>
      </c>
      <c r="D62" s="23" t="s">
        <v>12</v>
      </c>
      <c r="E62" s="23" t="s">
        <v>51</v>
      </c>
      <c r="F62" s="21">
        <v>4</v>
      </c>
      <c r="G62" s="24">
        <v>153.69999999999999</v>
      </c>
      <c r="H62" s="29">
        <f t="shared" si="1"/>
        <v>614.79999999999995</v>
      </c>
      <c r="I62" s="23" t="s">
        <v>33</v>
      </c>
      <c r="J62" s="30" t="s">
        <v>21</v>
      </c>
    </row>
    <row r="63" spans="1:10" x14ac:dyDescent="0.25">
      <c r="A63" s="26">
        <v>62</v>
      </c>
      <c r="B63" s="27" t="s">
        <v>99</v>
      </c>
      <c r="C63" s="28" t="s">
        <v>22</v>
      </c>
      <c r="D63" s="28" t="s">
        <v>46</v>
      </c>
      <c r="E63" s="28" t="s">
        <v>68</v>
      </c>
      <c r="F63" s="26">
        <v>5</v>
      </c>
      <c r="G63" s="29">
        <v>255.5</v>
      </c>
      <c r="H63" s="29">
        <f t="shared" si="1"/>
        <v>1277.5</v>
      </c>
      <c r="I63" s="28" t="s">
        <v>14</v>
      </c>
      <c r="J63" s="30" t="s">
        <v>21</v>
      </c>
    </row>
    <row r="64" spans="1:10" x14ac:dyDescent="0.25">
      <c r="A64" s="21">
        <v>63</v>
      </c>
      <c r="B64" s="22" t="s">
        <v>99</v>
      </c>
      <c r="C64" s="23" t="s">
        <v>55</v>
      </c>
      <c r="D64" s="23" t="s">
        <v>46</v>
      </c>
      <c r="E64" s="23" t="s">
        <v>68</v>
      </c>
      <c r="F64" s="21">
        <v>8</v>
      </c>
      <c r="G64" s="24">
        <v>251.5</v>
      </c>
      <c r="H64" s="29">
        <f t="shared" si="1"/>
        <v>2012</v>
      </c>
      <c r="I64" s="23" t="s">
        <v>14</v>
      </c>
      <c r="J64" s="31" t="s">
        <v>34</v>
      </c>
    </row>
    <row r="65" spans="1:10" x14ac:dyDescent="0.25">
      <c r="A65" s="26">
        <v>64</v>
      </c>
      <c r="B65" s="27" t="s">
        <v>99</v>
      </c>
      <c r="C65" s="28" t="s">
        <v>11</v>
      </c>
      <c r="D65" s="28" t="s">
        <v>12</v>
      </c>
      <c r="E65" s="28" t="s">
        <v>51</v>
      </c>
      <c r="F65" s="26">
        <v>10</v>
      </c>
      <c r="G65" s="29">
        <v>153.80000000000001</v>
      </c>
      <c r="H65" s="29">
        <f t="shared" si="1"/>
        <v>1538</v>
      </c>
      <c r="I65" s="28" t="s">
        <v>20</v>
      </c>
      <c r="J65" s="30" t="s">
        <v>21</v>
      </c>
    </row>
    <row r="66" spans="1:10" x14ac:dyDescent="0.25">
      <c r="A66" s="21">
        <v>65</v>
      </c>
      <c r="B66" s="22" t="s">
        <v>99</v>
      </c>
      <c r="C66" s="23" t="s">
        <v>42</v>
      </c>
      <c r="D66" s="23" t="s">
        <v>27</v>
      </c>
      <c r="E66" s="23" t="s">
        <v>106</v>
      </c>
      <c r="F66" s="21">
        <v>60</v>
      </c>
      <c r="G66" s="24">
        <v>3137.9</v>
      </c>
      <c r="H66" s="29">
        <f t="shared" ref="H66:H97" si="2">F66*G66</f>
        <v>188274</v>
      </c>
      <c r="I66" s="23" t="s">
        <v>14</v>
      </c>
      <c r="J66" s="25" t="s">
        <v>15</v>
      </c>
    </row>
    <row r="67" spans="1:10" x14ac:dyDescent="0.25">
      <c r="A67" s="26">
        <v>66</v>
      </c>
      <c r="B67" s="27" t="s">
        <v>99</v>
      </c>
      <c r="C67" s="28" t="s">
        <v>11</v>
      </c>
      <c r="D67" s="28" t="s">
        <v>12</v>
      </c>
      <c r="E67" s="28" t="s">
        <v>76</v>
      </c>
      <c r="F67" s="26">
        <v>6</v>
      </c>
      <c r="G67" s="29">
        <v>344.49</v>
      </c>
      <c r="H67" s="29">
        <f t="shared" si="2"/>
        <v>2066.94</v>
      </c>
      <c r="I67" s="28" t="s">
        <v>14</v>
      </c>
      <c r="J67" s="25" t="s">
        <v>15</v>
      </c>
    </row>
    <row r="68" spans="1:10" x14ac:dyDescent="0.25">
      <c r="A68" s="21">
        <v>67</v>
      </c>
      <c r="B68" s="22" t="s">
        <v>99</v>
      </c>
      <c r="C68" s="23" t="s">
        <v>17</v>
      </c>
      <c r="D68" s="23" t="s">
        <v>18</v>
      </c>
      <c r="E68" s="23" t="s">
        <v>72</v>
      </c>
      <c r="F68" s="21">
        <v>5</v>
      </c>
      <c r="G68" s="24">
        <v>133.69999999999999</v>
      </c>
      <c r="H68" s="29">
        <f t="shared" si="2"/>
        <v>668.5</v>
      </c>
      <c r="I68" s="23" t="s">
        <v>33</v>
      </c>
      <c r="J68" s="30" t="s">
        <v>21</v>
      </c>
    </row>
    <row r="69" spans="1:10" x14ac:dyDescent="0.25">
      <c r="A69" s="26">
        <v>68</v>
      </c>
      <c r="B69" s="27" t="s">
        <v>99</v>
      </c>
      <c r="C69" s="28" t="s">
        <v>22</v>
      </c>
      <c r="D69" s="28" t="s">
        <v>18</v>
      </c>
      <c r="E69" s="28" t="s">
        <v>107</v>
      </c>
      <c r="F69" s="26">
        <v>3</v>
      </c>
      <c r="G69" s="29">
        <v>522.79999999999995</v>
      </c>
      <c r="H69" s="29">
        <f t="shared" si="2"/>
        <v>1568.3999999999999</v>
      </c>
      <c r="I69" s="28" t="s">
        <v>38</v>
      </c>
      <c r="J69" s="30" t="s">
        <v>21</v>
      </c>
    </row>
    <row r="70" spans="1:10" x14ac:dyDescent="0.25">
      <c r="A70" s="21">
        <v>69</v>
      </c>
      <c r="B70" s="22" t="s">
        <v>99</v>
      </c>
      <c r="C70" s="23" t="s">
        <v>17</v>
      </c>
      <c r="D70" s="23" t="s">
        <v>23</v>
      </c>
      <c r="E70" s="23" t="s">
        <v>100</v>
      </c>
      <c r="F70" s="21">
        <v>6</v>
      </c>
      <c r="G70" s="24">
        <v>659.7</v>
      </c>
      <c r="H70" s="29">
        <f t="shared" si="2"/>
        <v>3958.2000000000003</v>
      </c>
      <c r="I70" s="23" t="s">
        <v>25</v>
      </c>
      <c r="J70" s="30" t="s">
        <v>21</v>
      </c>
    </row>
    <row r="71" spans="1:10" x14ac:dyDescent="0.25">
      <c r="A71" s="26">
        <v>70</v>
      </c>
      <c r="B71" s="27" t="s">
        <v>99</v>
      </c>
      <c r="C71" s="28" t="s">
        <v>42</v>
      </c>
      <c r="D71" s="28" t="s">
        <v>27</v>
      </c>
      <c r="E71" s="28" t="s">
        <v>66</v>
      </c>
      <c r="F71" s="26">
        <v>5</v>
      </c>
      <c r="G71" s="29">
        <v>432</v>
      </c>
      <c r="H71" s="29">
        <f t="shared" si="2"/>
        <v>2160</v>
      </c>
      <c r="I71" s="28" t="s">
        <v>33</v>
      </c>
      <c r="J71" s="30" t="s">
        <v>21</v>
      </c>
    </row>
    <row r="72" spans="1:10" x14ac:dyDescent="0.25">
      <c r="A72" s="21">
        <v>71</v>
      </c>
      <c r="B72" s="22" t="s">
        <v>99</v>
      </c>
      <c r="C72" s="23" t="s">
        <v>42</v>
      </c>
      <c r="D72" s="23" t="s">
        <v>27</v>
      </c>
      <c r="E72" s="23" t="s">
        <v>58</v>
      </c>
      <c r="F72" s="21">
        <v>7</v>
      </c>
      <c r="G72" s="24">
        <v>1787.9</v>
      </c>
      <c r="H72" s="29">
        <f t="shared" si="2"/>
        <v>12515.300000000001</v>
      </c>
      <c r="I72" s="23" t="s">
        <v>33</v>
      </c>
      <c r="J72" s="30" t="s">
        <v>21</v>
      </c>
    </row>
    <row r="73" spans="1:10" x14ac:dyDescent="0.25">
      <c r="A73" s="26">
        <v>72</v>
      </c>
      <c r="B73" s="27" t="s">
        <v>99</v>
      </c>
      <c r="C73" s="28" t="s">
        <v>36</v>
      </c>
      <c r="D73" s="28" t="s">
        <v>23</v>
      </c>
      <c r="E73" s="28" t="s">
        <v>102</v>
      </c>
      <c r="F73" s="26">
        <v>5</v>
      </c>
      <c r="G73" s="29">
        <v>145.69999999999999</v>
      </c>
      <c r="H73" s="29">
        <f t="shared" si="2"/>
        <v>728.5</v>
      </c>
      <c r="I73" s="28" t="s">
        <v>14</v>
      </c>
      <c r="J73" s="30" t="s">
        <v>21</v>
      </c>
    </row>
    <row r="74" spans="1:10" x14ac:dyDescent="0.25">
      <c r="A74" s="21">
        <v>73</v>
      </c>
      <c r="B74" s="22" t="s">
        <v>99</v>
      </c>
      <c r="C74" s="23" t="s">
        <v>36</v>
      </c>
      <c r="D74" s="23" t="s">
        <v>46</v>
      </c>
      <c r="E74" s="23" t="s">
        <v>49</v>
      </c>
      <c r="F74" s="21">
        <v>5</v>
      </c>
      <c r="G74" s="24">
        <v>312</v>
      </c>
      <c r="H74" s="29">
        <f t="shared" si="2"/>
        <v>1560</v>
      </c>
      <c r="I74" s="23" t="s">
        <v>25</v>
      </c>
      <c r="J74" s="30" t="s">
        <v>21</v>
      </c>
    </row>
    <row r="75" spans="1:10" x14ac:dyDescent="0.25">
      <c r="A75" s="26">
        <v>74</v>
      </c>
      <c r="B75" s="27" t="s">
        <v>99</v>
      </c>
      <c r="C75" s="28" t="s">
        <v>11</v>
      </c>
      <c r="D75" s="28" t="s">
        <v>46</v>
      </c>
      <c r="E75" s="28" t="s">
        <v>62</v>
      </c>
      <c r="F75" s="26">
        <v>4</v>
      </c>
      <c r="G75" s="29">
        <v>50.7</v>
      </c>
      <c r="H75" s="29">
        <f t="shared" si="2"/>
        <v>202.8</v>
      </c>
      <c r="I75" s="28" t="s">
        <v>20</v>
      </c>
      <c r="J75" s="30" t="s">
        <v>21</v>
      </c>
    </row>
    <row r="76" spans="1:10" x14ac:dyDescent="0.25">
      <c r="A76" s="21">
        <v>75</v>
      </c>
      <c r="B76" s="22" t="s">
        <v>99</v>
      </c>
      <c r="C76" s="23" t="s">
        <v>42</v>
      </c>
      <c r="D76" s="23" t="s">
        <v>23</v>
      </c>
      <c r="E76" s="23" t="s">
        <v>102</v>
      </c>
      <c r="F76" s="21">
        <v>3</v>
      </c>
      <c r="G76" s="24">
        <v>139.94999999999999</v>
      </c>
      <c r="H76" s="29">
        <f t="shared" si="2"/>
        <v>419.84999999999997</v>
      </c>
      <c r="I76" s="23" t="s">
        <v>20</v>
      </c>
      <c r="J76" s="30" t="s">
        <v>21</v>
      </c>
    </row>
    <row r="77" spans="1:10" x14ac:dyDescent="0.25">
      <c r="A77" s="26">
        <v>76</v>
      </c>
      <c r="B77" s="27" t="s">
        <v>99</v>
      </c>
      <c r="C77" s="28" t="s">
        <v>17</v>
      </c>
      <c r="D77" s="28" t="s">
        <v>23</v>
      </c>
      <c r="E77" s="28" t="s">
        <v>37</v>
      </c>
      <c r="F77" s="26">
        <v>9</v>
      </c>
      <c r="G77" s="29">
        <v>304</v>
      </c>
      <c r="H77" s="29">
        <f t="shared" si="2"/>
        <v>2736</v>
      </c>
      <c r="I77" s="28" t="s">
        <v>38</v>
      </c>
      <c r="J77" s="30" t="s">
        <v>21</v>
      </c>
    </row>
    <row r="78" spans="1:10" x14ac:dyDescent="0.25">
      <c r="A78" s="21">
        <v>77</v>
      </c>
      <c r="B78" s="22" t="s">
        <v>99</v>
      </c>
      <c r="C78" s="23" t="s">
        <v>45</v>
      </c>
      <c r="D78" s="23" t="s">
        <v>23</v>
      </c>
      <c r="E78" s="23" t="s">
        <v>108</v>
      </c>
      <c r="F78" s="21">
        <v>11</v>
      </c>
      <c r="G78" s="24">
        <v>347.8</v>
      </c>
      <c r="H78" s="29">
        <f t="shared" si="2"/>
        <v>3825.8</v>
      </c>
      <c r="I78" s="23" t="s">
        <v>38</v>
      </c>
      <c r="J78" s="25" t="s">
        <v>15</v>
      </c>
    </row>
    <row r="79" spans="1:10" x14ac:dyDescent="0.25">
      <c r="A79" s="26">
        <v>78</v>
      </c>
      <c r="B79" s="27" t="s">
        <v>99</v>
      </c>
      <c r="C79" s="28" t="s">
        <v>11</v>
      </c>
      <c r="D79" s="28" t="s">
        <v>18</v>
      </c>
      <c r="E79" s="28" t="s">
        <v>109</v>
      </c>
      <c r="F79" s="26">
        <v>5</v>
      </c>
      <c r="G79" s="29">
        <v>492.8</v>
      </c>
      <c r="H79" s="29">
        <f t="shared" si="2"/>
        <v>2464</v>
      </c>
      <c r="I79" s="28" t="s">
        <v>25</v>
      </c>
      <c r="J79" s="25" t="s">
        <v>15</v>
      </c>
    </row>
    <row r="80" spans="1:10" x14ac:dyDescent="0.25">
      <c r="A80" s="21">
        <v>79</v>
      </c>
      <c r="B80" s="22" t="s">
        <v>99</v>
      </c>
      <c r="C80" s="23" t="s">
        <v>22</v>
      </c>
      <c r="D80" s="23" t="s">
        <v>46</v>
      </c>
      <c r="E80" s="23" t="s">
        <v>47</v>
      </c>
      <c r="F80" s="21">
        <v>6</v>
      </c>
      <c r="G80" s="24">
        <v>213.95</v>
      </c>
      <c r="H80" s="29">
        <f t="shared" si="2"/>
        <v>1283.6999999999998</v>
      </c>
      <c r="I80" s="23" t="s">
        <v>33</v>
      </c>
      <c r="J80" s="30" t="s">
        <v>21</v>
      </c>
    </row>
    <row r="81" spans="1:10" x14ac:dyDescent="0.25">
      <c r="A81" s="26">
        <v>80</v>
      </c>
      <c r="B81" s="27" t="s">
        <v>99</v>
      </c>
      <c r="C81" s="28" t="s">
        <v>36</v>
      </c>
      <c r="D81" s="28" t="s">
        <v>12</v>
      </c>
      <c r="E81" s="28" t="s">
        <v>13</v>
      </c>
      <c r="F81" s="26">
        <v>9</v>
      </c>
      <c r="G81" s="29">
        <v>124.7</v>
      </c>
      <c r="H81" s="29">
        <f t="shared" si="2"/>
        <v>1122.3</v>
      </c>
      <c r="I81" s="28" t="s">
        <v>20</v>
      </c>
      <c r="J81" s="30" t="s">
        <v>21</v>
      </c>
    </row>
    <row r="82" spans="1:10" x14ac:dyDescent="0.25">
      <c r="A82" s="21">
        <v>81</v>
      </c>
      <c r="B82" s="22" t="s">
        <v>99</v>
      </c>
      <c r="C82" s="23" t="s">
        <v>42</v>
      </c>
      <c r="D82" s="23" t="s">
        <v>27</v>
      </c>
      <c r="E82" s="23" t="s">
        <v>56</v>
      </c>
      <c r="F82" s="21">
        <v>6</v>
      </c>
      <c r="G82" s="24">
        <v>4735</v>
      </c>
      <c r="H82" s="29">
        <f t="shared" si="2"/>
        <v>28410</v>
      </c>
      <c r="I82" s="23" t="s">
        <v>14</v>
      </c>
      <c r="J82" s="30" t="s">
        <v>21</v>
      </c>
    </row>
    <row r="83" spans="1:10" x14ac:dyDescent="0.25">
      <c r="A83" s="26">
        <v>82</v>
      </c>
      <c r="B83" s="27" t="s">
        <v>99</v>
      </c>
      <c r="C83" s="28" t="s">
        <v>42</v>
      </c>
      <c r="D83" s="28" t="s">
        <v>12</v>
      </c>
      <c r="E83" s="28" t="s">
        <v>76</v>
      </c>
      <c r="F83" s="26">
        <v>9</v>
      </c>
      <c r="G83" s="29">
        <v>342.9</v>
      </c>
      <c r="H83" s="29">
        <f t="shared" si="2"/>
        <v>3086.1</v>
      </c>
      <c r="I83" s="28" t="s">
        <v>14</v>
      </c>
      <c r="J83" s="31" t="s">
        <v>34</v>
      </c>
    </row>
    <row r="84" spans="1:10" x14ac:dyDescent="0.25">
      <c r="A84" s="21">
        <v>83</v>
      </c>
      <c r="B84" s="22" t="s">
        <v>99</v>
      </c>
      <c r="C84" s="23" t="s">
        <v>55</v>
      </c>
      <c r="D84" s="23" t="s">
        <v>46</v>
      </c>
      <c r="E84" s="23" t="s">
        <v>105</v>
      </c>
      <c r="F84" s="21">
        <v>27</v>
      </c>
      <c r="G84" s="24">
        <v>240.8</v>
      </c>
      <c r="H84" s="29">
        <f t="shared" si="2"/>
        <v>6501.6</v>
      </c>
      <c r="I84" s="23" t="s">
        <v>14</v>
      </c>
      <c r="J84" s="25" t="s">
        <v>15</v>
      </c>
    </row>
    <row r="85" spans="1:10" x14ac:dyDescent="0.25">
      <c r="A85" s="26">
        <v>84</v>
      </c>
      <c r="B85" s="27" t="s">
        <v>99</v>
      </c>
      <c r="C85" s="28" t="s">
        <v>55</v>
      </c>
      <c r="D85" s="28" t="s">
        <v>27</v>
      </c>
      <c r="E85" s="28" t="s">
        <v>106</v>
      </c>
      <c r="F85" s="26">
        <v>2</v>
      </c>
      <c r="G85" s="29">
        <v>3112.99</v>
      </c>
      <c r="H85" s="29">
        <f t="shared" si="2"/>
        <v>6225.98</v>
      </c>
      <c r="I85" s="28" t="s">
        <v>20</v>
      </c>
      <c r="J85" s="30" t="s">
        <v>21</v>
      </c>
    </row>
    <row r="86" spans="1:10" x14ac:dyDescent="0.25">
      <c r="A86" s="21">
        <v>85</v>
      </c>
      <c r="B86" s="22" t="s">
        <v>99</v>
      </c>
      <c r="C86" s="23" t="s">
        <v>55</v>
      </c>
      <c r="D86" s="23" t="s">
        <v>23</v>
      </c>
      <c r="E86" s="23" t="s">
        <v>24</v>
      </c>
      <c r="F86" s="21">
        <v>8</v>
      </c>
      <c r="G86" s="24">
        <v>190.5</v>
      </c>
      <c r="H86" s="29">
        <f t="shared" si="2"/>
        <v>1524</v>
      </c>
      <c r="I86" s="23" t="s">
        <v>33</v>
      </c>
      <c r="J86" s="31" t="s">
        <v>34</v>
      </c>
    </row>
    <row r="87" spans="1:10" x14ac:dyDescent="0.25">
      <c r="A87" s="26">
        <v>86</v>
      </c>
      <c r="B87" s="27" t="s">
        <v>99</v>
      </c>
      <c r="C87" s="28" t="s">
        <v>36</v>
      </c>
      <c r="D87" s="28" t="s">
        <v>46</v>
      </c>
      <c r="E87" s="28" t="s">
        <v>62</v>
      </c>
      <c r="F87" s="26">
        <v>8</v>
      </c>
      <c r="G87" s="29">
        <v>49.7</v>
      </c>
      <c r="H87" s="29">
        <f t="shared" si="2"/>
        <v>397.6</v>
      </c>
      <c r="I87" s="28" t="s">
        <v>14</v>
      </c>
      <c r="J87" s="31" t="s">
        <v>34</v>
      </c>
    </row>
    <row r="88" spans="1:10" x14ac:dyDescent="0.25">
      <c r="A88" s="21">
        <v>87</v>
      </c>
      <c r="B88" s="22" t="s">
        <v>99</v>
      </c>
      <c r="C88" s="23" t="s">
        <v>55</v>
      </c>
      <c r="D88" s="23" t="s">
        <v>46</v>
      </c>
      <c r="E88" s="23" t="s">
        <v>110</v>
      </c>
      <c r="F88" s="21">
        <v>3</v>
      </c>
      <c r="G88" s="24">
        <v>197.7</v>
      </c>
      <c r="H88" s="29">
        <f t="shared" si="2"/>
        <v>593.09999999999991</v>
      </c>
      <c r="I88" s="23" t="s">
        <v>14</v>
      </c>
      <c r="J88" s="30" t="s">
        <v>21</v>
      </c>
    </row>
    <row r="89" spans="1:10" x14ac:dyDescent="0.25">
      <c r="A89" s="26">
        <v>88</v>
      </c>
      <c r="B89" s="27" t="s">
        <v>99</v>
      </c>
      <c r="C89" s="28" t="s">
        <v>45</v>
      </c>
      <c r="D89" s="28" t="s">
        <v>23</v>
      </c>
      <c r="E89" s="28" t="s">
        <v>100</v>
      </c>
      <c r="F89" s="26">
        <v>12</v>
      </c>
      <c r="G89" s="29">
        <v>621.70000000000005</v>
      </c>
      <c r="H89" s="29">
        <f t="shared" si="2"/>
        <v>7460.4000000000005</v>
      </c>
      <c r="I89" s="28" t="s">
        <v>14</v>
      </c>
      <c r="J89" s="25" t="s">
        <v>15</v>
      </c>
    </row>
    <row r="90" spans="1:10" x14ac:dyDescent="0.25">
      <c r="A90" s="21">
        <v>89</v>
      </c>
      <c r="B90" s="22" t="s">
        <v>99</v>
      </c>
      <c r="C90" s="23" t="s">
        <v>45</v>
      </c>
      <c r="D90" s="23" t="s">
        <v>12</v>
      </c>
      <c r="E90" s="23" t="s">
        <v>32</v>
      </c>
      <c r="F90" s="21">
        <v>4</v>
      </c>
      <c r="G90" s="24">
        <v>89.9</v>
      </c>
      <c r="H90" s="29">
        <f t="shared" si="2"/>
        <v>359.6</v>
      </c>
      <c r="I90" s="23" t="s">
        <v>38</v>
      </c>
      <c r="J90" s="25" t="s">
        <v>15</v>
      </c>
    </row>
    <row r="91" spans="1:10" x14ac:dyDescent="0.25">
      <c r="A91" s="26">
        <v>90</v>
      </c>
      <c r="B91" s="27" t="s">
        <v>99</v>
      </c>
      <c r="C91" s="28" t="s">
        <v>42</v>
      </c>
      <c r="D91" s="28" t="s">
        <v>27</v>
      </c>
      <c r="E91" s="28" t="s">
        <v>111</v>
      </c>
      <c r="F91" s="26">
        <v>10</v>
      </c>
      <c r="G91" s="29">
        <v>335.9</v>
      </c>
      <c r="H91" s="29">
        <f t="shared" si="2"/>
        <v>3359</v>
      </c>
      <c r="I91" s="28" t="s">
        <v>14</v>
      </c>
      <c r="J91" s="30" t="s">
        <v>21</v>
      </c>
    </row>
    <row r="92" spans="1:10" x14ac:dyDescent="0.25">
      <c r="A92" s="21">
        <v>91</v>
      </c>
      <c r="B92" s="22" t="s">
        <v>99</v>
      </c>
      <c r="C92" s="23" t="s">
        <v>55</v>
      </c>
      <c r="D92" s="23" t="s">
        <v>27</v>
      </c>
      <c r="E92" s="23" t="s">
        <v>90</v>
      </c>
      <c r="F92" s="21">
        <v>2</v>
      </c>
      <c r="G92" s="24">
        <v>1409.7</v>
      </c>
      <c r="H92" s="29">
        <f t="shared" si="2"/>
        <v>2819.4</v>
      </c>
      <c r="I92" s="23" t="s">
        <v>25</v>
      </c>
      <c r="J92" s="30" t="s">
        <v>21</v>
      </c>
    </row>
    <row r="93" spans="1:10" x14ac:dyDescent="0.25">
      <c r="A93" s="26">
        <v>92</v>
      </c>
      <c r="B93" s="27" t="s">
        <v>99</v>
      </c>
      <c r="C93" s="28" t="s">
        <v>55</v>
      </c>
      <c r="D93" s="28" t="s">
        <v>18</v>
      </c>
      <c r="E93" s="28" t="s">
        <v>78</v>
      </c>
      <c r="F93" s="26">
        <v>2</v>
      </c>
      <c r="G93" s="29">
        <v>249.9</v>
      </c>
      <c r="H93" s="29">
        <f t="shared" si="2"/>
        <v>499.8</v>
      </c>
      <c r="I93" s="28" t="s">
        <v>20</v>
      </c>
      <c r="J93" s="30" t="s">
        <v>21</v>
      </c>
    </row>
    <row r="94" spans="1:10" x14ac:dyDescent="0.25">
      <c r="A94" s="21">
        <v>93</v>
      </c>
      <c r="B94" s="22" t="s">
        <v>99</v>
      </c>
      <c r="C94" s="23" t="s">
        <v>42</v>
      </c>
      <c r="D94" s="23" t="s">
        <v>23</v>
      </c>
      <c r="E94" s="23" t="s">
        <v>70</v>
      </c>
      <c r="F94" s="21">
        <v>9</v>
      </c>
      <c r="G94" s="24">
        <v>283.7</v>
      </c>
      <c r="H94" s="29">
        <f t="shared" si="2"/>
        <v>2553.2999999999997</v>
      </c>
      <c r="I94" s="23" t="s">
        <v>14</v>
      </c>
      <c r="J94" s="25" t="s">
        <v>15</v>
      </c>
    </row>
    <row r="95" spans="1:10" x14ac:dyDescent="0.25">
      <c r="A95" s="26">
        <v>94</v>
      </c>
      <c r="B95" s="27" t="s">
        <v>99</v>
      </c>
      <c r="C95" s="28" t="s">
        <v>11</v>
      </c>
      <c r="D95" s="28" t="s">
        <v>46</v>
      </c>
      <c r="E95" s="28" t="s">
        <v>112</v>
      </c>
      <c r="F95" s="26">
        <v>2</v>
      </c>
      <c r="G95" s="29">
        <v>68.5</v>
      </c>
      <c r="H95" s="29">
        <f t="shared" si="2"/>
        <v>137</v>
      </c>
      <c r="I95" s="28" t="s">
        <v>38</v>
      </c>
      <c r="J95" s="30" t="s">
        <v>21</v>
      </c>
    </row>
    <row r="96" spans="1:10" x14ac:dyDescent="0.25">
      <c r="A96" s="21">
        <v>95</v>
      </c>
      <c r="B96" s="22" t="s">
        <v>99</v>
      </c>
      <c r="C96" s="23" t="s">
        <v>42</v>
      </c>
      <c r="D96" s="23" t="s">
        <v>18</v>
      </c>
      <c r="E96" s="23" t="s">
        <v>98</v>
      </c>
      <c r="F96" s="21">
        <v>6</v>
      </c>
      <c r="G96" s="24">
        <v>154.5</v>
      </c>
      <c r="H96" s="29">
        <f t="shared" si="2"/>
        <v>927</v>
      </c>
      <c r="I96" s="23" t="s">
        <v>20</v>
      </c>
      <c r="J96" s="30" t="s">
        <v>21</v>
      </c>
    </row>
    <row r="97" spans="1:10" x14ac:dyDescent="0.25">
      <c r="A97" s="26">
        <v>96</v>
      </c>
      <c r="B97" s="27" t="s">
        <v>99</v>
      </c>
      <c r="C97" s="28" t="s">
        <v>55</v>
      </c>
      <c r="D97" s="28" t="s">
        <v>12</v>
      </c>
      <c r="E97" s="28" t="s">
        <v>91</v>
      </c>
      <c r="F97" s="26">
        <v>5</v>
      </c>
      <c r="G97" s="29">
        <v>2569.4899999999998</v>
      </c>
      <c r="H97" s="29">
        <f t="shared" si="2"/>
        <v>12847.449999999999</v>
      </c>
      <c r="I97" s="28" t="s">
        <v>25</v>
      </c>
      <c r="J97" s="25" t="s">
        <v>15</v>
      </c>
    </row>
    <row r="98" spans="1:10" x14ac:dyDescent="0.25">
      <c r="A98" s="21">
        <v>97</v>
      </c>
      <c r="B98" s="22" t="s">
        <v>99</v>
      </c>
      <c r="C98" s="23" t="s">
        <v>55</v>
      </c>
      <c r="D98" s="23" t="s">
        <v>46</v>
      </c>
      <c r="E98" s="23" t="s">
        <v>68</v>
      </c>
      <c r="F98" s="21">
        <v>6</v>
      </c>
      <c r="G98" s="24">
        <v>246.9</v>
      </c>
      <c r="H98" s="29">
        <f t="shared" ref="H98:H129" si="3">F98*G98</f>
        <v>1481.4</v>
      </c>
      <c r="I98" s="23" t="s">
        <v>25</v>
      </c>
      <c r="J98" s="31" t="s">
        <v>34</v>
      </c>
    </row>
    <row r="99" spans="1:10" x14ac:dyDescent="0.25">
      <c r="A99" s="26">
        <v>98</v>
      </c>
      <c r="B99" s="27" t="s">
        <v>99</v>
      </c>
      <c r="C99" s="28" t="s">
        <v>17</v>
      </c>
      <c r="D99" s="28" t="s">
        <v>46</v>
      </c>
      <c r="E99" s="28" t="s">
        <v>49</v>
      </c>
      <c r="F99" s="26">
        <v>15</v>
      </c>
      <c r="G99" s="29">
        <v>289</v>
      </c>
      <c r="H99" s="29">
        <f t="shared" si="3"/>
        <v>4335</v>
      </c>
      <c r="I99" s="28" t="s">
        <v>14</v>
      </c>
      <c r="J99" s="31" t="s">
        <v>34</v>
      </c>
    </row>
    <row r="100" spans="1:10" x14ac:dyDescent="0.25">
      <c r="A100" s="21">
        <v>99</v>
      </c>
      <c r="B100" s="22" t="s">
        <v>99</v>
      </c>
      <c r="C100" s="23" t="s">
        <v>22</v>
      </c>
      <c r="D100" s="23" t="s">
        <v>46</v>
      </c>
      <c r="E100" s="23" t="s">
        <v>49</v>
      </c>
      <c r="F100" s="21">
        <v>4</v>
      </c>
      <c r="G100" s="24">
        <v>289</v>
      </c>
      <c r="H100" s="29">
        <f t="shared" si="3"/>
        <v>1156</v>
      </c>
      <c r="I100" s="23" t="s">
        <v>14</v>
      </c>
      <c r="J100" s="31" t="s">
        <v>34</v>
      </c>
    </row>
    <row r="101" spans="1:10" x14ac:dyDescent="0.25">
      <c r="A101" s="26">
        <v>100</v>
      </c>
      <c r="B101" s="27" t="s">
        <v>99</v>
      </c>
      <c r="C101" s="28" t="s">
        <v>36</v>
      </c>
      <c r="D101" s="28" t="s">
        <v>18</v>
      </c>
      <c r="E101" s="28" t="s">
        <v>107</v>
      </c>
      <c r="F101" s="26">
        <v>1</v>
      </c>
      <c r="G101" s="29">
        <v>559.70000000000005</v>
      </c>
      <c r="H101" s="29">
        <f t="shared" si="3"/>
        <v>559.70000000000005</v>
      </c>
      <c r="I101" s="28" t="s">
        <v>33</v>
      </c>
      <c r="J101" s="25" t="s">
        <v>15</v>
      </c>
    </row>
    <row r="102" spans="1:10" x14ac:dyDescent="0.25">
      <c r="A102" s="21">
        <v>101</v>
      </c>
      <c r="B102" s="22" t="s">
        <v>99</v>
      </c>
      <c r="C102" s="23" t="s">
        <v>45</v>
      </c>
      <c r="D102" s="23" t="s">
        <v>12</v>
      </c>
      <c r="E102" s="23" t="s">
        <v>32</v>
      </c>
      <c r="F102" s="21">
        <v>10</v>
      </c>
      <c r="G102" s="24">
        <v>94.5</v>
      </c>
      <c r="H102" s="29">
        <f t="shared" si="3"/>
        <v>945</v>
      </c>
      <c r="I102" s="23" t="s">
        <v>38</v>
      </c>
      <c r="J102" s="30" t="s">
        <v>21</v>
      </c>
    </row>
    <row r="103" spans="1:10" x14ac:dyDescent="0.25">
      <c r="A103" s="26">
        <v>102</v>
      </c>
      <c r="B103" s="27" t="s">
        <v>99</v>
      </c>
      <c r="C103" s="28" t="s">
        <v>55</v>
      </c>
      <c r="D103" s="28" t="s">
        <v>46</v>
      </c>
      <c r="E103" s="28" t="s">
        <v>103</v>
      </c>
      <c r="F103" s="26">
        <v>7</v>
      </c>
      <c r="G103" s="29">
        <v>392.7</v>
      </c>
      <c r="H103" s="29">
        <f t="shared" si="3"/>
        <v>2748.9</v>
      </c>
      <c r="I103" s="28" t="s">
        <v>20</v>
      </c>
      <c r="J103" s="30" t="s">
        <v>21</v>
      </c>
    </row>
    <row r="104" spans="1:10" x14ac:dyDescent="0.25">
      <c r="A104" s="21">
        <v>103</v>
      </c>
      <c r="B104" s="22" t="s">
        <v>99</v>
      </c>
      <c r="C104" s="23" t="s">
        <v>36</v>
      </c>
      <c r="D104" s="23" t="s">
        <v>46</v>
      </c>
      <c r="E104" s="23" t="s">
        <v>62</v>
      </c>
      <c r="F104" s="21">
        <v>7</v>
      </c>
      <c r="G104" s="24">
        <v>49</v>
      </c>
      <c r="H104" s="29">
        <f t="shared" si="3"/>
        <v>343</v>
      </c>
      <c r="I104" s="23" t="s">
        <v>20</v>
      </c>
      <c r="J104" s="30" t="s">
        <v>21</v>
      </c>
    </row>
    <row r="105" spans="1:10" x14ac:dyDescent="0.25">
      <c r="A105" s="26">
        <v>104</v>
      </c>
      <c r="B105" s="27" t="s">
        <v>99</v>
      </c>
      <c r="C105" s="28" t="s">
        <v>22</v>
      </c>
      <c r="D105" s="28" t="s">
        <v>46</v>
      </c>
      <c r="E105" s="28" t="s">
        <v>47</v>
      </c>
      <c r="F105" s="26">
        <v>55</v>
      </c>
      <c r="G105" s="29">
        <v>227.49</v>
      </c>
      <c r="H105" s="29">
        <f t="shared" si="3"/>
        <v>12511.95</v>
      </c>
      <c r="I105" s="28" t="s">
        <v>33</v>
      </c>
      <c r="J105" s="30" t="s">
        <v>21</v>
      </c>
    </row>
    <row r="106" spans="1:10" x14ac:dyDescent="0.25">
      <c r="A106" s="21">
        <v>105</v>
      </c>
      <c r="B106" s="22" t="s">
        <v>99</v>
      </c>
      <c r="C106" s="23" t="s">
        <v>45</v>
      </c>
      <c r="D106" s="23" t="s">
        <v>12</v>
      </c>
      <c r="E106" s="23" t="s">
        <v>88</v>
      </c>
      <c r="F106" s="21">
        <v>3</v>
      </c>
      <c r="G106" s="24">
        <v>1245.8</v>
      </c>
      <c r="H106" s="29">
        <f t="shared" si="3"/>
        <v>3737.3999999999996</v>
      </c>
      <c r="I106" s="23" t="s">
        <v>20</v>
      </c>
      <c r="J106" s="30" t="s">
        <v>21</v>
      </c>
    </row>
    <row r="107" spans="1:10" x14ac:dyDescent="0.25">
      <c r="A107" s="26">
        <v>106</v>
      </c>
      <c r="B107" s="27" t="s">
        <v>99</v>
      </c>
      <c r="C107" s="28" t="s">
        <v>42</v>
      </c>
      <c r="D107" s="28" t="s">
        <v>18</v>
      </c>
      <c r="E107" s="28" t="s">
        <v>78</v>
      </c>
      <c r="F107" s="26">
        <v>11</v>
      </c>
      <c r="G107" s="29">
        <v>240.9</v>
      </c>
      <c r="H107" s="29">
        <f t="shared" si="3"/>
        <v>2649.9</v>
      </c>
      <c r="I107" s="28" t="s">
        <v>14</v>
      </c>
      <c r="J107" s="25" t="s">
        <v>15</v>
      </c>
    </row>
    <row r="108" spans="1:10" x14ac:dyDescent="0.25">
      <c r="A108" s="21">
        <v>107</v>
      </c>
      <c r="B108" s="22" t="s">
        <v>99</v>
      </c>
      <c r="C108" s="23" t="s">
        <v>11</v>
      </c>
      <c r="D108" s="23" t="s">
        <v>27</v>
      </c>
      <c r="E108" s="23" t="s">
        <v>56</v>
      </c>
      <c r="F108" s="21">
        <v>7</v>
      </c>
      <c r="G108" s="24">
        <v>4761.95</v>
      </c>
      <c r="H108" s="29">
        <f t="shared" si="3"/>
        <v>33333.65</v>
      </c>
      <c r="I108" s="23" t="s">
        <v>14</v>
      </c>
      <c r="J108" s="25" t="s">
        <v>15</v>
      </c>
    </row>
    <row r="109" spans="1:10" x14ac:dyDescent="0.25">
      <c r="A109" s="26">
        <v>108</v>
      </c>
      <c r="B109" s="27" t="s">
        <v>99</v>
      </c>
      <c r="C109" s="28" t="s">
        <v>22</v>
      </c>
      <c r="D109" s="28" t="s">
        <v>23</v>
      </c>
      <c r="E109" s="28" t="s">
        <v>48</v>
      </c>
      <c r="F109" s="26">
        <v>2</v>
      </c>
      <c r="G109" s="29">
        <v>480.7</v>
      </c>
      <c r="H109" s="29">
        <f t="shared" si="3"/>
        <v>961.4</v>
      </c>
      <c r="I109" s="28" t="s">
        <v>38</v>
      </c>
      <c r="J109" s="25" t="s">
        <v>15</v>
      </c>
    </row>
    <row r="110" spans="1:10" x14ac:dyDescent="0.25">
      <c r="A110" s="21">
        <v>109</v>
      </c>
      <c r="B110" s="22" t="s">
        <v>99</v>
      </c>
      <c r="C110" s="23" t="s">
        <v>42</v>
      </c>
      <c r="D110" s="23" t="s">
        <v>23</v>
      </c>
      <c r="E110" s="23" t="s">
        <v>96</v>
      </c>
      <c r="F110" s="21">
        <v>2</v>
      </c>
      <c r="G110" s="24">
        <v>151.9</v>
      </c>
      <c r="H110" s="29">
        <f t="shared" si="3"/>
        <v>303.8</v>
      </c>
      <c r="I110" s="23" t="s">
        <v>33</v>
      </c>
      <c r="J110" s="30" t="s">
        <v>21</v>
      </c>
    </row>
    <row r="111" spans="1:10" x14ac:dyDescent="0.25">
      <c r="A111" s="26">
        <v>110</v>
      </c>
      <c r="B111" s="27" t="s">
        <v>99</v>
      </c>
      <c r="C111" s="28" t="s">
        <v>45</v>
      </c>
      <c r="D111" s="28" t="s">
        <v>27</v>
      </c>
      <c r="E111" s="28" t="s">
        <v>111</v>
      </c>
      <c r="F111" s="26">
        <v>4</v>
      </c>
      <c r="G111" s="29">
        <v>362.9</v>
      </c>
      <c r="H111" s="29">
        <f t="shared" si="3"/>
        <v>1451.6</v>
      </c>
      <c r="I111" s="28" t="s">
        <v>14</v>
      </c>
      <c r="J111" s="31" t="s">
        <v>34</v>
      </c>
    </row>
    <row r="112" spans="1:10" x14ac:dyDescent="0.25">
      <c r="A112" s="21">
        <v>111</v>
      </c>
      <c r="B112" s="22" t="s">
        <v>99</v>
      </c>
      <c r="C112" s="23" t="s">
        <v>22</v>
      </c>
      <c r="D112" s="23" t="s">
        <v>12</v>
      </c>
      <c r="E112" s="23" t="s">
        <v>13</v>
      </c>
      <c r="F112" s="21">
        <v>7</v>
      </c>
      <c r="G112" s="24">
        <v>119.9</v>
      </c>
      <c r="H112" s="29">
        <f t="shared" si="3"/>
        <v>839.30000000000007</v>
      </c>
      <c r="I112" s="23" t="s">
        <v>14</v>
      </c>
      <c r="J112" s="25" t="s">
        <v>15</v>
      </c>
    </row>
    <row r="113" spans="1:10" x14ac:dyDescent="0.25">
      <c r="A113" s="26">
        <v>112</v>
      </c>
      <c r="B113" s="27" t="s">
        <v>99</v>
      </c>
      <c r="C113" s="28" t="s">
        <v>11</v>
      </c>
      <c r="D113" s="28" t="s">
        <v>46</v>
      </c>
      <c r="E113" s="28" t="s">
        <v>112</v>
      </c>
      <c r="F113" s="26">
        <v>6</v>
      </c>
      <c r="G113" s="29">
        <v>67.900000000000006</v>
      </c>
      <c r="H113" s="29">
        <f t="shared" si="3"/>
        <v>407.40000000000003</v>
      </c>
      <c r="I113" s="28" t="s">
        <v>38</v>
      </c>
      <c r="J113" s="25" t="s">
        <v>15</v>
      </c>
    </row>
    <row r="114" spans="1:10" x14ac:dyDescent="0.25">
      <c r="A114" s="21">
        <v>113</v>
      </c>
      <c r="B114" s="22" t="s">
        <v>99</v>
      </c>
      <c r="C114" s="23" t="s">
        <v>42</v>
      </c>
      <c r="D114" s="23" t="s">
        <v>23</v>
      </c>
      <c r="E114" s="23" t="s">
        <v>95</v>
      </c>
      <c r="F114" s="21">
        <v>8</v>
      </c>
      <c r="G114" s="24">
        <v>940</v>
      </c>
      <c r="H114" s="29">
        <f t="shared" si="3"/>
        <v>7520</v>
      </c>
      <c r="I114" s="23" t="s">
        <v>25</v>
      </c>
      <c r="J114" s="30" t="s">
        <v>21</v>
      </c>
    </row>
    <row r="115" spans="1:10" x14ac:dyDescent="0.25">
      <c r="A115" s="26">
        <v>114</v>
      </c>
      <c r="B115" s="27" t="s">
        <v>99</v>
      </c>
      <c r="C115" s="28" t="s">
        <v>17</v>
      </c>
      <c r="D115" s="28" t="s">
        <v>18</v>
      </c>
      <c r="E115" s="28" t="s">
        <v>78</v>
      </c>
      <c r="F115" s="26">
        <v>4</v>
      </c>
      <c r="G115" s="29">
        <v>249.9</v>
      </c>
      <c r="H115" s="29">
        <f t="shared" si="3"/>
        <v>999.6</v>
      </c>
      <c r="I115" s="28" t="s">
        <v>20</v>
      </c>
      <c r="J115" s="30" t="s">
        <v>21</v>
      </c>
    </row>
    <row r="116" spans="1:10" x14ac:dyDescent="0.25">
      <c r="A116" s="21">
        <v>115</v>
      </c>
      <c r="B116" s="22" t="s">
        <v>99</v>
      </c>
      <c r="C116" s="23" t="s">
        <v>22</v>
      </c>
      <c r="D116" s="23" t="s">
        <v>27</v>
      </c>
      <c r="E116" s="23" t="s">
        <v>40</v>
      </c>
      <c r="F116" s="21">
        <v>1</v>
      </c>
      <c r="G116" s="24">
        <v>1236.95</v>
      </c>
      <c r="H116" s="29">
        <f t="shared" si="3"/>
        <v>1236.95</v>
      </c>
      <c r="I116" s="23" t="s">
        <v>14</v>
      </c>
      <c r="J116" s="30" t="s">
        <v>21</v>
      </c>
    </row>
    <row r="117" spans="1:10" x14ac:dyDescent="0.25">
      <c r="A117" s="26">
        <v>116</v>
      </c>
      <c r="B117" s="27" t="s">
        <v>99</v>
      </c>
      <c r="C117" s="28" t="s">
        <v>45</v>
      </c>
      <c r="D117" s="28" t="s">
        <v>27</v>
      </c>
      <c r="E117" s="28" t="s">
        <v>66</v>
      </c>
      <c r="F117" s="26">
        <v>6</v>
      </c>
      <c r="G117" s="29">
        <v>411.7</v>
      </c>
      <c r="H117" s="29">
        <f t="shared" si="3"/>
        <v>2470.1999999999998</v>
      </c>
      <c r="I117" s="28" t="s">
        <v>33</v>
      </c>
      <c r="J117" s="25" t="s">
        <v>15</v>
      </c>
    </row>
    <row r="118" spans="1:10" x14ac:dyDescent="0.25">
      <c r="A118" s="21">
        <v>117</v>
      </c>
      <c r="B118" s="22" t="s">
        <v>99</v>
      </c>
      <c r="C118" s="23" t="s">
        <v>22</v>
      </c>
      <c r="D118" s="23" t="s">
        <v>18</v>
      </c>
      <c r="E118" s="23" t="s">
        <v>101</v>
      </c>
      <c r="F118" s="21">
        <v>2</v>
      </c>
      <c r="G118" s="24">
        <v>62.7</v>
      </c>
      <c r="H118" s="29">
        <f t="shared" si="3"/>
        <v>125.4</v>
      </c>
      <c r="I118" s="23" t="s">
        <v>25</v>
      </c>
      <c r="J118" s="30" t="s">
        <v>21</v>
      </c>
    </row>
    <row r="119" spans="1:10" x14ac:dyDescent="0.25">
      <c r="A119" s="26">
        <v>118</v>
      </c>
      <c r="B119" s="27" t="s">
        <v>99</v>
      </c>
      <c r="C119" s="28" t="s">
        <v>11</v>
      </c>
      <c r="D119" s="28" t="s">
        <v>46</v>
      </c>
      <c r="E119" s="28" t="s">
        <v>68</v>
      </c>
      <c r="F119" s="26">
        <v>6</v>
      </c>
      <c r="G119" s="29">
        <v>249.8</v>
      </c>
      <c r="H119" s="29">
        <f t="shared" si="3"/>
        <v>1498.8000000000002</v>
      </c>
      <c r="I119" s="28" t="s">
        <v>14</v>
      </c>
      <c r="J119" s="25" t="s">
        <v>15</v>
      </c>
    </row>
    <row r="120" spans="1:10" x14ac:dyDescent="0.25">
      <c r="A120" s="21">
        <v>119</v>
      </c>
      <c r="B120" s="22" t="s">
        <v>99</v>
      </c>
      <c r="C120" s="23" t="s">
        <v>36</v>
      </c>
      <c r="D120" s="23" t="s">
        <v>12</v>
      </c>
      <c r="E120" s="23" t="s">
        <v>91</v>
      </c>
      <c r="F120" s="21">
        <v>1</v>
      </c>
      <c r="G120" s="24">
        <v>2387.9499999999998</v>
      </c>
      <c r="H120" s="29">
        <f t="shared" si="3"/>
        <v>2387.9499999999998</v>
      </c>
      <c r="I120" s="23" t="s">
        <v>25</v>
      </c>
      <c r="J120" s="31" t="s">
        <v>34</v>
      </c>
    </row>
    <row r="121" spans="1:10" x14ac:dyDescent="0.25">
      <c r="A121" s="26">
        <v>120</v>
      </c>
      <c r="B121" s="27" t="s">
        <v>99</v>
      </c>
      <c r="C121" s="28" t="s">
        <v>11</v>
      </c>
      <c r="D121" s="28" t="s">
        <v>46</v>
      </c>
      <c r="E121" s="28" t="s">
        <v>105</v>
      </c>
      <c r="F121" s="26">
        <v>5</v>
      </c>
      <c r="G121" s="29">
        <v>252.8</v>
      </c>
      <c r="H121" s="29">
        <f t="shared" si="3"/>
        <v>1264</v>
      </c>
      <c r="I121" s="28" t="s">
        <v>38</v>
      </c>
      <c r="J121" s="31" t="s">
        <v>34</v>
      </c>
    </row>
    <row r="122" spans="1:10" x14ac:dyDescent="0.25">
      <c r="A122" s="21">
        <v>121</v>
      </c>
      <c r="B122" s="22" t="s">
        <v>99</v>
      </c>
      <c r="C122" s="23" t="s">
        <v>17</v>
      </c>
      <c r="D122" s="23" t="s">
        <v>23</v>
      </c>
      <c r="E122" s="23" t="s">
        <v>70</v>
      </c>
      <c r="F122" s="21">
        <v>9</v>
      </c>
      <c r="G122" s="24">
        <v>278.89999999999998</v>
      </c>
      <c r="H122" s="29">
        <f t="shared" si="3"/>
        <v>2510.1</v>
      </c>
      <c r="I122" s="23" t="s">
        <v>14</v>
      </c>
      <c r="J122" s="30" t="s">
        <v>21</v>
      </c>
    </row>
    <row r="123" spans="1:10" x14ac:dyDescent="0.25">
      <c r="A123" s="26">
        <v>122</v>
      </c>
      <c r="B123" s="27" t="s">
        <v>99</v>
      </c>
      <c r="C123" s="28" t="s">
        <v>11</v>
      </c>
      <c r="D123" s="28" t="s">
        <v>12</v>
      </c>
      <c r="E123" s="28" t="s">
        <v>13</v>
      </c>
      <c r="F123" s="26">
        <v>5</v>
      </c>
      <c r="G123" s="29">
        <v>117.5</v>
      </c>
      <c r="H123" s="29">
        <f t="shared" si="3"/>
        <v>587.5</v>
      </c>
      <c r="I123" s="28" t="s">
        <v>14</v>
      </c>
      <c r="J123" s="31" t="s">
        <v>34</v>
      </c>
    </row>
    <row r="124" spans="1:10" x14ac:dyDescent="0.25">
      <c r="A124" s="21">
        <v>123</v>
      </c>
      <c r="B124" s="22" t="s">
        <v>99</v>
      </c>
      <c r="C124" s="23" t="s">
        <v>55</v>
      </c>
      <c r="D124" s="23" t="s">
        <v>46</v>
      </c>
      <c r="E124" s="23" t="s">
        <v>49</v>
      </c>
      <c r="F124" s="21">
        <v>7</v>
      </c>
      <c r="G124" s="24">
        <v>309</v>
      </c>
      <c r="H124" s="29">
        <f t="shared" si="3"/>
        <v>2163</v>
      </c>
      <c r="I124" s="23" t="s">
        <v>25</v>
      </c>
      <c r="J124" s="30" t="s">
        <v>21</v>
      </c>
    </row>
    <row r="125" spans="1:10" x14ac:dyDescent="0.25">
      <c r="A125" s="26">
        <v>124</v>
      </c>
      <c r="B125" s="27" t="s">
        <v>99</v>
      </c>
      <c r="C125" s="28" t="s">
        <v>42</v>
      </c>
      <c r="D125" s="28" t="s">
        <v>23</v>
      </c>
      <c r="E125" s="28" t="s">
        <v>102</v>
      </c>
      <c r="F125" s="26">
        <v>7</v>
      </c>
      <c r="G125" s="29">
        <v>143.5</v>
      </c>
      <c r="H125" s="29">
        <f t="shared" si="3"/>
        <v>1004.5</v>
      </c>
      <c r="I125" s="28" t="s">
        <v>25</v>
      </c>
      <c r="J125" s="30" t="s">
        <v>21</v>
      </c>
    </row>
    <row r="126" spans="1:10" x14ac:dyDescent="0.25">
      <c r="A126" s="21">
        <v>125</v>
      </c>
      <c r="B126" s="22" t="s">
        <v>99</v>
      </c>
      <c r="C126" s="23" t="s">
        <v>45</v>
      </c>
      <c r="D126" s="23" t="s">
        <v>23</v>
      </c>
      <c r="E126" s="23" t="s">
        <v>104</v>
      </c>
      <c r="F126" s="21">
        <v>12</v>
      </c>
      <c r="G126" s="24">
        <v>184.95</v>
      </c>
      <c r="H126" s="29">
        <f t="shared" si="3"/>
        <v>2219.3999999999996</v>
      </c>
      <c r="I126" s="23" t="s">
        <v>38</v>
      </c>
      <c r="J126" s="30" t="s">
        <v>21</v>
      </c>
    </row>
    <row r="127" spans="1:10" x14ac:dyDescent="0.25">
      <c r="A127" s="26">
        <v>126</v>
      </c>
      <c r="B127" s="27" t="s">
        <v>99</v>
      </c>
      <c r="C127" s="28" t="s">
        <v>45</v>
      </c>
      <c r="D127" s="28" t="s">
        <v>12</v>
      </c>
      <c r="E127" s="28" t="s">
        <v>91</v>
      </c>
      <c r="F127" s="26">
        <v>9</v>
      </c>
      <c r="G127" s="29">
        <v>2393.5</v>
      </c>
      <c r="H127" s="29">
        <f t="shared" si="3"/>
        <v>21541.5</v>
      </c>
      <c r="I127" s="28" t="s">
        <v>14</v>
      </c>
      <c r="J127" s="30" t="s">
        <v>21</v>
      </c>
    </row>
    <row r="128" spans="1:10" x14ac:dyDescent="0.25">
      <c r="A128" s="21">
        <v>127</v>
      </c>
      <c r="B128" s="22" t="s">
        <v>99</v>
      </c>
      <c r="C128" s="23" t="s">
        <v>11</v>
      </c>
      <c r="D128" s="23" t="s">
        <v>27</v>
      </c>
      <c r="E128" s="23" t="s">
        <v>53</v>
      </c>
      <c r="F128" s="21">
        <v>7</v>
      </c>
      <c r="G128" s="24">
        <v>1942.8</v>
      </c>
      <c r="H128" s="29">
        <f t="shared" si="3"/>
        <v>13599.6</v>
      </c>
      <c r="I128" s="23" t="s">
        <v>25</v>
      </c>
      <c r="J128" s="30" t="s">
        <v>21</v>
      </c>
    </row>
    <row r="129" spans="1:10" x14ac:dyDescent="0.25">
      <c r="A129" s="26">
        <v>128</v>
      </c>
      <c r="B129" s="27" t="s">
        <v>99</v>
      </c>
      <c r="C129" s="28" t="s">
        <v>45</v>
      </c>
      <c r="D129" s="28" t="s">
        <v>27</v>
      </c>
      <c r="E129" s="28" t="s">
        <v>111</v>
      </c>
      <c r="F129" s="26">
        <v>11</v>
      </c>
      <c r="G129" s="29">
        <v>335</v>
      </c>
      <c r="H129" s="29">
        <f t="shared" si="3"/>
        <v>3685</v>
      </c>
      <c r="I129" s="28" t="s">
        <v>33</v>
      </c>
      <c r="J129" s="30" t="s">
        <v>21</v>
      </c>
    </row>
    <row r="130" spans="1:10" x14ac:dyDescent="0.25">
      <c r="A130" s="21">
        <v>129</v>
      </c>
      <c r="B130" s="22" t="s">
        <v>99</v>
      </c>
      <c r="C130" s="23" t="s">
        <v>36</v>
      </c>
      <c r="D130" s="23" t="s">
        <v>18</v>
      </c>
      <c r="E130" s="23" t="s">
        <v>107</v>
      </c>
      <c r="F130" s="21">
        <v>4</v>
      </c>
      <c r="G130" s="24">
        <v>546.99</v>
      </c>
      <c r="H130" s="29">
        <f t="shared" ref="H130:H161" si="4">F130*G130</f>
        <v>2187.96</v>
      </c>
      <c r="I130" s="23" t="s">
        <v>20</v>
      </c>
      <c r="J130" s="25" t="s">
        <v>15</v>
      </c>
    </row>
    <row r="131" spans="1:10" x14ac:dyDescent="0.25">
      <c r="A131" s="26">
        <v>130</v>
      </c>
      <c r="B131" s="27" t="s">
        <v>99</v>
      </c>
      <c r="C131" s="28" t="s">
        <v>17</v>
      </c>
      <c r="D131" s="28" t="s">
        <v>18</v>
      </c>
      <c r="E131" s="28" t="s">
        <v>72</v>
      </c>
      <c r="F131" s="26">
        <v>11</v>
      </c>
      <c r="G131" s="29">
        <v>142.5</v>
      </c>
      <c r="H131" s="29">
        <f t="shared" si="4"/>
        <v>1567.5</v>
      </c>
      <c r="I131" s="28" t="s">
        <v>14</v>
      </c>
      <c r="J131" s="31" t="s">
        <v>34</v>
      </c>
    </row>
    <row r="132" spans="1:10" x14ac:dyDescent="0.25">
      <c r="A132" s="21">
        <v>131</v>
      </c>
      <c r="B132" s="22" t="s">
        <v>99</v>
      </c>
      <c r="C132" s="23" t="s">
        <v>17</v>
      </c>
      <c r="D132" s="23" t="s">
        <v>27</v>
      </c>
      <c r="E132" s="23" t="s">
        <v>53</v>
      </c>
      <c r="F132" s="21">
        <v>2</v>
      </c>
      <c r="G132" s="24">
        <v>1825</v>
      </c>
      <c r="H132" s="29">
        <f t="shared" si="4"/>
        <v>3650</v>
      </c>
      <c r="I132" s="23" t="s">
        <v>25</v>
      </c>
      <c r="J132" s="25" t="s">
        <v>15</v>
      </c>
    </row>
    <row r="133" spans="1:10" x14ac:dyDescent="0.25">
      <c r="A133" s="26">
        <v>132</v>
      </c>
      <c r="B133" s="27" t="s">
        <v>99</v>
      </c>
      <c r="C133" s="28" t="s">
        <v>45</v>
      </c>
      <c r="D133" s="28" t="s">
        <v>12</v>
      </c>
      <c r="E133" s="28" t="s">
        <v>32</v>
      </c>
      <c r="F133" s="26">
        <v>6</v>
      </c>
      <c r="G133" s="29">
        <v>88.7</v>
      </c>
      <c r="H133" s="29">
        <f t="shared" si="4"/>
        <v>532.20000000000005</v>
      </c>
      <c r="I133" s="28" t="s">
        <v>38</v>
      </c>
      <c r="J133" s="30" t="s">
        <v>21</v>
      </c>
    </row>
    <row r="134" spans="1:10" x14ac:dyDescent="0.25">
      <c r="A134" s="21">
        <v>133</v>
      </c>
      <c r="B134" s="22" t="s">
        <v>99</v>
      </c>
      <c r="C134" s="23" t="s">
        <v>42</v>
      </c>
      <c r="D134" s="23" t="s">
        <v>23</v>
      </c>
      <c r="E134" s="23" t="s">
        <v>108</v>
      </c>
      <c r="F134" s="21">
        <v>9</v>
      </c>
      <c r="G134" s="24">
        <v>362.8</v>
      </c>
      <c r="H134" s="29">
        <f t="shared" si="4"/>
        <v>3265.2000000000003</v>
      </c>
      <c r="I134" s="23" t="s">
        <v>14</v>
      </c>
      <c r="J134" s="30" t="s">
        <v>21</v>
      </c>
    </row>
    <row r="135" spans="1:10" x14ac:dyDescent="0.25">
      <c r="A135" s="26">
        <v>134</v>
      </c>
      <c r="B135" s="27" t="s">
        <v>99</v>
      </c>
      <c r="C135" s="28" t="s">
        <v>17</v>
      </c>
      <c r="D135" s="28" t="s">
        <v>18</v>
      </c>
      <c r="E135" s="28" t="s">
        <v>98</v>
      </c>
      <c r="F135" s="26">
        <v>9</v>
      </c>
      <c r="G135" s="29">
        <v>161.9</v>
      </c>
      <c r="H135" s="29">
        <f t="shared" si="4"/>
        <v>1457.1000000000001</v>
      </c>
      <c r="I135" s="28" t="s">
        <v>25</v>
      </c>
      <c r="J135" s="30" t="s">
        <v>21</v>
      </c>
    </row>
    <row r="136" spans="1:10" x14ac:dyDescent="0.25">
      <c r="A136" s="21">
        <v>135</v>
      </c>
      <c r="B136" s="22" t="s">
        <v>99</v>
      </c>
      <c r="C136" s="23" t="s">
        <v>17</v>
      </c>
      <c r="D136" s="23" t="s">
        <v>18</v>
      </c>
      <c r="E136" s="23" t="s">
        <v>113</v>
      </c>
      <c r="F136" s="21">
        <v>9</v>
      </c>
      <c r="G136" s="24">
        <v>186</v>
      </c>
      <c r="H136" s="29">
        <f t="shared" si="4"/>
        <v>1674</v>
      </c>
      <c r="I136" s="23" t="s">
        <v>20</v>
      </c>
      <c r="J136" s="25" t="s">
        <v>15</v>
      </c>
    </row>
    <row r="137" spans="1:10" x14ac:dyDescent="0.25">
      <c r="A137" s="26">
        <v>136</v>
      </c>
      <c r="B137" s="27" t="s">
        <v>99</v>
      </c>
      <c r="C137" s="28" t="s">
        <v>55</v>
      </c>
      <c r="D137" s="28" t="s">
        <v>27</v>
      </c>
      <c r="E137" s="28" t="s">
        <v>56</v>
      </c>
      <c r="F137" s="26">
        <v>2</v>
      </c>
      <c r="G137" s="29">
        <v>4757.8999999999996</v>
      </c>
      <c r="H137" s="29">
        <f t="shared" si="4"/>
        <v>9515.7999999999993</v>
      </c>
      <c r="I137" s="28" t="s">
        <v>14</v>
      </c>
      <c r="J137" s="25" t="s">
        <v>15</v>
      </c>
    </row>
    <row r="138" spans="1:10" x14ac:dyDescent="0.25">
      <c r="A138" s="21">
        <v>137</v>
      </c>
      <c r="B138" s="22" t="s">
        <v>99</v>
      </c>
      <c r="C138" s="23" t="s">
        <v>36</v>
      </c>
      <c r="D138" s="23" t="s">
        <v>12</v>
      </c>
      <c r="E138" s="23" t="s">
        <v>88</v>
      </c>
      <c r="F138" s="21">
        <v>11</v>
      </c>
      <c r="G138" s="24">
        <v>1315.5</v>
      </c>
      <c r="H138" s="29">
        <f t="shared" si="4"/>
        <v>14470.5</v>
      </c>
      <c r="I138" s="23" t="s">
        <v>14</v>
      </c>
      <c r="J138" s="30" t="s">
        <v>21</v>
      </c>
    </row>
    <row r="139" spans="1:10" x14ac:dyDescent="0.25">
      <c r="A139" s="26">
        <v>138</v>
      </c>
      <c r="B139" s="27" t="s">
        <v>99</v>
      </c>
      <c r="C139" s="28" t="s">
        <v>42</v>
      </c>
      <c r="D139" s="28" t="s">
        <v>12</v>
      </c>
      <c r="E139" s="28" t="s">
        <v>88</v>
      </c>
      <c r="F139" s="26">
        <v>2</v>
      </c>
      <c r="G139" s="29">
        <v>1254</v>
      </c>
      <c r="H139" s="29">
        <f t="shared" si="4"/>
        <v>2508</v>
      </c>
      <c r="I139" s="28" t="s">
        <v>38</v>
      </c>
      <c r="J139" s="30" t="s">
        <v>21</v>
      </c>
    </row>
    <row r="140" spans="1:10" x14ac:dyDescent="0.25">
      <c r="A140" s="21">
        <v>139</v>
      </c>
      <c r="B140" s="22" t="s">
        <v>99</v>
      </c>
      <c r="C140" s="23" t="s">
        <v>11</v>
      </c>
      <c r="D140" s="23" t="s">
        <v>46</v>
      </c>
      <c r="E140" s="23" t="s">
        <v>103</v>
      </c>
      <c r="F140" s="21">
        <v>3</v>
      </c>
      <c r="G140" s="24">
        <v>388.95</v>
      </c>
      <c r="H140" s="29">
        <f t="shared" si="4"/>
        <v>1166.8499999999999</v>
      </c>
      <c r="I140" s="23" t="s">
        <v>14</v>
      </c>
      <c r="J140" s="30" t="s">
        <v>21</v>
      </c>
    </row>
    <row r="141" spans="1:10" x14ac:dyDescent="0.25">
      <c r="A141" s="26">
        <v>140</v>
      </c>
      <c r="B141" s="27" t="s">
        <v>99</v>
      </c>
      <c r="C141" s="28" t="s">
        <v>42</v>
      </c>
      <c r="D141" s="28" t="s">
        <v>18</v>
      </c>
      <c r="E141" s="28" t="s">
        <v>114</v>
      </c>
      <c r="F141" s="26">
        <v>9</v>
      </c>
      <c r="G141" s="29">
        <v>96.7</v>
      </c>
      <c r="H141" s="29">
        <f t="shared" si="4"/>
        <v>870.30000000000007</v>
      </c>
      <c r="I141" s="28" t="s">
        <v>14</v>
      </c>
      <c r="J141" s="30" t="s">
        <v>21</v>
      </c>
    </row>
    <row r="142" spans="1:10" x14ac:dyDescent="0.25">
      <c r="A142" s="21">
        <v>141</v>
      </c>
      <c r="B142" s="22" t="s">
        <v>99</v>
      </c>
      <c r="C142" s="23" t="s">
        <v>45</v>
      </c>
      <c r="D142" s="23" t="s">
        <v>18</v>
      </c>
      <c r="E142" s="23" t="s">
        <v>107</v>
      </c>
      <c r="F142" s="21">
        <v>4</v>
      </c>
      <c r="G142" s="24">
        <v>568</v>
      </c>
      <c r="H142" s="29">
        <f t="shared" si="4"/>
        <v>2272</v>
      </c>
      <c r="I142" s="23" t="s">
        <v>14</v>
      </c>
      <c r="J142" s="30" t="s">
        <v>21</v>
      </c>
    </row>
    <row r="143" spans="1:10" x14ac:dyDescent="0.25">
      <c r="A143" s="26">
        <v>142</v>
      </c>
      <c r="B143" s="27" t="s">
        <v>99</v>
      </c>
      <c r="C143" s="28" t="s">
        <v>42</v>
      </c>
      <c r="D143" s="28" t="s">
        <v>18</v>
      </c>
      <c r="E143" s="28" t="s">
        <v>63</v>
      </c>
      <c r="F143" s="26">
        <v>3</v>
      </c>
      <c r="G143" s="29">
        <v>182.8</v>
      </c>
      <c r="H143" s="29">
        <f t="shared" si="4"/>
        <v>548.40000000000009</v>
      </c>
      <c r="I143" s="28" t="s">
        <v>38</v>
      </c>
      <c r="J143" s="30" t="s">
        <v>21</v>
      </c>
    </row>
    <row r="144" spans="1:10" x14ac:dyDescent="0.25">
      <c r="A144" s="21">
        <v>143</v>
      </c>
      <c r="B144" s="22" t="s">
        <v>99</v>
      </c>
      <c r="C144" s="23" t="s">
        <v>36</v>
      </c>
      <c r="D144" s="23" t="s">
        <v>23</v>
      </c>
      <c r="E144" s="23" t="s">
        <v>24</v>
      </c>
      <c r="F144" s="21">
        <v>3</v>
      </c>
      <c r="G144" s="24">
        <v>203.95</v>
      </c>
      <c r="H144" s="29">
        <f t="shared" si="4"/>
        <v>611.84999999999991</v>
      </c>
      <c r="I144" s="23" t="s">
        <v>14</v>
      </c>
      <c r="J144" s="30" t="s">
        <v>21</v>
      </c>
    </row>
    <row r="145" spans="1:10" x14ac:dyDescent="0.25">
      <c r="A145" s="26">
        <v>144</v>
      </c>
      <c r="B145" s="27" t="s">
        <v>99</v>
      </c>
      <c r="C145" s="28" t="s">
        <v>17</v>
      </c>
      <c r="D145" s="28" t="s">
        <v>18</v>
      </c>
      <c r="E145" s="28" t="s">
        <v>107</v>
      </c>
      <c r="F145" s="26">
        <v>1</v>
      </c>
      <c r="G145" s="29">
        <v>550.9</v>
      </c>
      <c r="H145" s="29">
        <f t="shared" si="4"/>
        <v>550.9</v>
      </c>
      <c r="I145" s="28" t="s">
        <v>20</v>
      </c>
      <c r="J145" s="30" t="s">
        <v>21</v>
      </c>
    </row>
    <row r="146" spans="1:10" x14ac:dyDescent="0.25">
      <c r="A146" s="21">
        <v>145</v>
      </c>
      <c r="B146" s="22" t="s">
        <v>99</v>
      </c>
      <c r="C146" s="23" t="s">
        <v>11</v>
      </c>
      <c r="D146" s="23" t="s">
        <v>23</v>
      </c>
      <c r="E146" s="23" t="s">
        <v>115</v>
      </c>
      <c r="F146" s="21">
        <v>2</v>
      </c>
      <c r="G146" s="24">
        <v>402.9</v>
      </c>
      <c r="H146" s="29">
        <f t="shared" si="4"/>
        <v>805.8</v>
      </c>
      <c r="I146" s="23" t="s">
        <v>20</v>
      </c>
      <c r="J146" s="31" t="s">
        <v>34</v>
      </c>
    </row>
    <row r="147" spans="1:10" x14ac:dyDescent="0.25">
      <c r="A147" s="26">
        <v>146</v>
      </c>
      <c r="B147" s="27" t="s">
        <v>99</v>
      </c>
      <c r="C147" s="28" t="s">
        <v>42</v>
      </c>
      <c r="D147" s="28" t="s">
        <v>23</v>
      </c>
      <c r="E147" s="28" t="s">
        <v>24</v>
      </c>
      <c r="F147" s="26">
        <v>12</v>
      </c>
      <c r="G147" s="29">
        <v>194.49</v>
      </c>
      <c r="H147" s="29">
        <f t="shared" si="4"/>
        <v>2333.88</v>
      </c>
      <c r="I147" s="28" t="s">
        <v>38</v>
      </c>
      <c r="J147" s="30" t="s">
        <v>21</v>
      </c>
    </row>
    <row r="148" spans="1:10" x14ac:dyDescent="0.25">
      <c r="A148" s="21">
        <v>147</v>
      </c>
      <c r="B148" s="22" t="s">
        <v>99</v>
      </c>
      <c r="C148" s="23" t="s">
        <v>42</v>
      </c>
      <c r="D148" s="23" t="s">
        <v>12</v>
      </c>
      <c r="E148" s="23" t="s">
        <v>32</v>
      </c>
      <c r="F148" s="21">
        <v>4</v>
      </c>
      <c r="G148" s="24">
        <v>85.99</v>
      </c>
      <c r="H148" s="29">
        <f t="shared" si="4"/>
        <v>343.96</v>
      </c>
      <c r="I148" s="23" t="s">
        <v>38</v>
      </c>
      <c r="J148" s="30" t="s">
        <v>21</v>
      </c>
    </row>
    <row r="149" spans="1:10" x14ac:dyDescent="0.25">
      <c r="A149" s="26">
        <v>148</v>
      </c>
      <c r="B149" s="27" t="s">
        <v>99</v>
      </c>
      <c r="C149" s="28" t="s">
        <v>42</v>
      </c>
      <c r="D149" s="28" t="s">
        <v>46</v>
      </c>
      <c r="E149" s="28" t="s">
        <v>68</v>
      </c>
      <c r="F149" s="26">
        <v>2</v>
      </c>
      <c r="G149" s="29">
        <v>245.9</v>
      </c>
      <c r="H149" s="29">
        <f t="shared" si="4"/>
        <v>491.8</v>
      </c>
      <c r="I149" s="28" t="s">
        <v>20</v>
      </c>
      <c r="J149" s="30" t="s">
        <v>21</v>
      </c>
    </row>
    <row r="150" spans="1:10" x14ac:dyDescent="0.25">
      <c r="A150" s="21">
        <v>149</v>
      </c>
      <c r="B150" s="22" t="s">
        <v>99</v>
      </c>
      <c r="C150" s="23" t="s">
        <v>42</v>
      </c>
      <c r="D150" s="23" t="s">
        <v>12</v>
      </c>
      <c r="E150" s="23" t="s">
        <v>32</v>
      </c>
      <c r="F150" s="21">
        <v>8</v>
      </c>
      <c r="G150" s="24">
        <v>86.99</v>
      </c>
      <c r="H150" s="29">
        <f t="shared" si="4"/>
        <v>695.92</v>
      </c>
      <c r="I150" s="23" t="s">
        <v>25</v>
      </c>
      <c r="J150" s="25" t="s">
        <v>15</v>
      </c>
    </row>
    <row r="151" spans="1:10" x14ac:dyDescent="0.25">
      <c r="A151" s="26">
        <v>150</v>
      </c>
      <c r="B151" s="27" t="s">
        <v>99</v>
      </c>
      <c r="C151" s="28" t="s">
        <v>36</v>
      </c>
      <c r="D151" s="28" t="s">
        <v>46</v>
      </c>
      <c r="E151" s="28" t="s">
        <v>62</v>
      </c>
      <c r="F151" s="26">
        <v>8</v>
      </c>
      <c r="G151" s="29">
        <v>51.8</v>
      </c>
      <c r="H151" s="29">
        <f t="shared" si="4"/>
        <v>414.4</v>
      </c>
      <c r="I151" s="28" t="s">
        <v>20</v>
      </c>
      <c r="J151" s="30" t="s">
        <v>21</v>
      </c>
    </row>
    <row r="152" spans="1:10" x14ac:dyDescent="0.25">
      <c r="A152" s="21">
        <v>151</v>
      </c>
      <c r="B152" s="22" t="s">
        <v>99</v>
      </c>
      <c r="C152" s="23" t="s">
        <v>45</v>
      </c>
      <c r="D152" s="23" t="s">
        <v>18</v>
      </c>
      <c r="E152" s="23" t="s">
        <v>72</v>
      </c>
      <c r="F152" s="21">
        <v>11</v>
      </c>
      <c r="G152" s="24">
        <v>134.9</v>
      </c>
      <c r="H152" s="29">
        <f t="shared" si="4"/>
        <v>1483.9</v>
      </c>
      <c r="I152" s="23" t="s">
        <v>20</v>
      </c>
      <c r="J152" s="31" t="s">
        <v>34</v>
      </c>
    </row>
    <row r="153" spans="1:10" x14ac:dyDescent="0.25">
      <c r="A153" s="26">
        <v>152</v>
      </c>
      <c r="B153" s="27" t="s">
        <v>99</v>
      </c>
      <c r="C153" s="28" t="s">
        <v>45</v>
      </c>
      <c r="D153" s="28" t="s">
        <v>27</v>
      </c>
      <c r="E153" s="28" t="s">
        <v>53</v>
      </c>
      <c r="F153" s="26">
        <v>11</v>
      </c>
      <c r="G153" s="29">
        <v>1786.9</v>
      </c>
      <c r="H153" s="29">
        <f t="shared" si="4"/>
        <v>19655.900000000001</v>
      </c>
      <c r="I153" s="28" t="s">
        <v>25</v>
      </c>
      <c r="J153" s="30" t="s">
        <v>21</v>
      </c>
    </row>
    <row r="154" spans="1:10" x14ac:dyDescent="0.25">
      <c r="A154" s="21">
        <v>153</v>
      </c>
      <c r="B154" s="22" t="s">
        <v>99</v>
      </c>
      <c r="C154" s="23" t="s">
        <v>22</v>
      </c>
      <c r="D154" s="23" t="s">
        <v>46</v>
      </c>
      <c r="E154" s="23" t="s">
        <v>103</v>
      </c>
      <c r="F154" s="21">
        <v>7</v>
      </c>
      <c r="G154" s="24">
        <v>392.5</v>
      </c>
      <c r="H154" s="29">
        <f t="shared" si="4"/>
        <v>2747.5</v>
      </c>
      <c r="I154" s="23" t="s">
        <v>33</v>
      </c>
      <c r="J154" s="25" t="s">
        <v>15</v>
      </c>
    </row>
    <row r="155" spans="1:10" x14ac:dyDescent="0.25">
      <c r="A155" s="26">
        <v>154</v>
      </c>
      <c r="B155" s="27" t="s">
        <v>99</v>
      </c>
      <c r="C155" s="28" t="s">
        <v>55</v>
      </c>
      <c r="D155" s="28" t="s">
        <v>27</v>
      </c>
      <c r="E155" s="28" t="s">
        <v>53</v>
      </c>
      <c r="F155" s="26">
        <v>2</v>
      </c>
      <c r="G155" s="29">
        <v>1879</v>
      </c>
      <c r="H155" s="29">
        <f t="shared" si="4"/>
        <v>3758</v>
      </c>
      <c r="I155" s="28" t="s">
        <v>38</v>
      </c>
      <c r="J155" s="30" t="s">
        <v>21</v>
      </c>
    </row>
    <row r="156" spans="1:10" x14ac:dyDescent="0.25">
      <c r="A156" s="21">
        <v>155</v>
      </c>
      <c r="B156" s="22" t="s">
        <v>99</v>
      </c>
      <c r="C156" s="23" t="s">
        <v>17</v>
      </c>
      <c r="D156" s="23" t="s">
        <v>12</v>
      </c>
      <c r="E156" s="23" t="s">
        <v>116</v>
      </c>
      <c r="F156" s="21">
        <v>3</v>
      </c>
      <c r="G156" s="24">
        <v>310.89999999999998</v>
      </c>
      <c r="H156" s="29">
        <f t="shared" si="4"/>
        <v>932.69999999999993</v>
      </c>
      <c r="I156" s="23" t="s">
        <v>20</v>
      </c>
      <c r="J156" s="30" t="s">
        <v>21</v>
      </c>
    </row>
    <row r="157" spans="1:10" x14ac:dyDescent="0.25">
      <c r="A157" s="26">
        <v>156</v>
      </c>
      <c r="B157" s="27" t="s">
        <v>99</v>
      </c>
      <c r="C157" s="28" t="s">
        <v>45</v>
      </c>
      <c r="D157" s="28" t="s">
        <v>23</v>
      </c>
      <c r="E157" s="28" t="s">
        <v>104</v>
      </c>
      <c r="F157" s="26">
        <v>6</v>
      </c>
      <c r="G157" s="29">
        <v>182</v>
      </c>
      <c r="H157" s="29">
        <f t="shared" si="4"/>
        <v>1092</v>
      </c>
      <c r="I157" s="28" t="s">
        <v>25</v>
      </c>
      <c r="J157" s="30" t="s">
        <v>21</v>
      </c>
    </row>
    <row r="158" spans="1:10" x14ac:dyDescent="0.25">
      <c r="A158" s="21">
        <v>157</v>
      </c>
      <c r="B158" s="22" t="s">
        <v>99</v>
      </c>
      <c r="C158" s="23" t="s">
        <v>11</v>
      </c>
      <c r="D158" s="23" t="s">
        <v>27</v>
      </c>
      <c r="E158" s="23" t="s">
        <v>58</v>
      </c>
      <c r="F158" s="21">
        <v>6</v>
      </c>
      <c r="G158" s="24">
        <v>1777.9</v>
      </c>
      <c r="H158" s="29">
        <f t="shared" si="4"/>
        <v>10667.400000000001</v>
      </c>
      <c r="I158" s="23" t="s">
        <v>14</v>
      </c>
      <c r="J158" s="31" t="s">
        <v>34</v>
      </c>
    </row>
    <row r="159" spans="1:10" x14ac:dyDescent="0.25">
      <c r="A159" s="26">
        <v>158</v>
      </c>
      <c r="B159" s="27" t="s">
        <v>99</v>
      </c>
      <c r="C159" s="28" t="s">
        <v>22</v>
      </c>
      <c r="D159" s="28" t="s">
        <v>27</v>
      </c>
      <c r="E159" s="28" t="s">
        <v>84</v>
      </c>
      <c r="F159" s="26">
        <v>5</v>
      </c>
      <c r="G159" s="29">
        <v>3875.9</v>
      </c>
      <c r="H159" s="29">
        <f t="shared" si="4"/>
        <v>19379.5</v>
      </c>
      <c r="I159" s="28" t="s">
        <v>38</v>
      </c>
      <c r="J159" s="30" t="s">
        <v>21</v>
      </c>
    </row>
    <row r="160" spans="1:10" x14ac:dyDescent="0.25">
      <c r="A160" s="21">
        <v>159</v>
      </c>
      <c r="B160" s="22" t="s">
        <v>99</v>
      </c>
      <c r="C160" s="23" t="s">
        <v>17</v>
      </c>
      <c r="D160" s="23" t="s">
        <v>18</v>
      </c>
      <c r="E160" s="23" t="s">
        <v>63</v>
      </c>
      <c r="F160" s="21">
        <v>4</v>
      </c>
      <c r="G160" s="24">
        <v>192.99</v>
      </c>
      <c r="H160" s="29">
        <f t="shared" si="4"/>
        <v>771.96</v>
      </c>
      <c r="I160" s="23" t="s">
        <v>38</v>
      </c>
      <c r="J160" s="30" t="s">
        <v>21</v>
      </c>
    </row>
    <row r="161" spans="1:10" x14ac:dyDescent="0.25">
      <c r="A161" s="26">
        <v>160</v>
      </c>
      <c r="B161" s="27" t="s">
        <v>99</v>
      </c>
      <c r="C161" s="28" t="s">
        <v>22</v>
      </c>
      <c r="D161" s="28" t="s">
        <v>18</v>
      </c>
      <c r="E161" s="28" t="s">
        <v>113</v>
      </c>
      <c r="F161" s="26">
        <v>5</v>
      </c>
      <c r="G161" s="29">
        <v>185.99</v>
      </c>
      <c r="H161" s="29">
        <f t="shared" si="4"/>
        <v>929.95</v>
      </c>
      <c r="I161" s="28" t="s">
        <v>20</v>
      </c>
      <c r="J161" s="30" t="s">
        <v>21</v>
      </c>
    </row>
    <row r="162" spans="1:10" x14ac:dyDescent="0.25">
      <c r="A162" s="21">
        <v>161</v>
      </c>
      <c r="B162" s="22" t="s">
        <v>99</v>
      </c>
      <c r="C162" s="23" t="s">
        <v>42</v>
      </c>
      <c r="D162" s="23" t="s">
        <v>23</v>
      </c>
      <c r="E162" s="23" t="s">
        <v>104</v>
      </c>
      <c r="F162" s="21">
        <v>10</v>
      </c>
      <c r="G162" s="24">
        <v>182.5</v>
      </c>
      <c r="H162" s="29">
        <f t="shared" ref="H162:H193" si="5">F162*G162</f>
        <v>1825</v>
      </c>
      <c r="I162" s="23" t="s">
        <v>33</v>
      </c>
      <c r="J162" s="30" t="s">
        <v>21</v>
      </c>
    </row>
    <row r="163" spans="1:10" x14ac:dyDescent="0.25">
      <c r="A163" s="26">
        <v>162</v>
      </c>
      <c r="B163" s="27" t="s">
        <v>99</v>
      </c>
      <c r="C163" s="28" t="s">
        <v>22</v>
      </c>
      <c r="D163" s="28" t="s">
        <v>46</v>
      </c>
      <c r="E163" s="28" t="s">
        <v>110</v>
      </c>
      <c r="F163" s="26">
        <v>8</v>
      </c>
      <c r="G163" s="29">
        <v>196.95</v>
      </c>
      <c r="H163" s="29">
        <f t="shared" si="5"/>
        <v>1575.6</v>
      </c>
      <c r="I163" s="28" t="s">
        <v>38</v>
      </c>
      <c r="J163" s="31" t="s">
        <v>34</v>
      </c>
    </row>
    <row r="164" spans="1:10" x14ac:dyDescent="0.25">
      <c r="A164" s="21">
        <v>163</v>
      </c>
      <c r="B164" s="22" t="s">
        <v>99</v>
      </c>
      <c r="C164" s="23" t="s">
        <v>11</v>
      </c>
      <c r="D164" s="23" t="s">
        <v>12</v>
      </c>
      <c r="E164" s="23" t="s">
        <v>51</v>
      </c>
      <c r="F164" s="21">
        <v>12</v>
      </c>
      <c r="G164" s="24">
        <v>148.69999999999999</v>
      </c>
      <c r="H164" s="29">
        <f t="shared" si="5"/>
        <v>1784.3999999999999</v>
      </c>
      <c r="I164" s="23" t="s">
        <v>14</v>
      </c>
      <c r="J164" s="31" t="s">
        <v>34</v>
      </c>
    </row>
    <row r="165" spans="1:10" x14ac:dyDescent="0.25">
      <c r="A165" s="26">
        <v>164</v>
      </c>
      <c r="B165" s="27" t="s">
        <v>99</v>
      </c>
      <c r="C165" s="28" t="s">
        <v>45</v>
      </c>
      <c r="D165" s="28" t="s">
        <v>46</v>
      </c>
      <c r="E165" s="28" t="s">
        <v>105</v>
      </c>
      <c r="F165" s="26">
        <v>8</v>
      </c>
      <c r="G165" s="29">
        <v>251.9</v>
      </c>
      <c r="H165" s="29">
        <f t="shared" si="5"/>
        <v>2015.2</v>
      </c>
      <c r="I165" s="28" t="s">
        <v>33</v>
      </c>
      <c r="J165" s="25" t="s">
        <v>15</v>
      </c>
    </row>
    <row r="166" spans="1:10" x14ac:dyDescent="0.25">
      <c r="A166" s="21">
        <v>165</v>
      </c>
      <c r="B166" s="22" t="s">
        <v>99</v>
      </c>
      <c r="C166" s="23" t="s">
        <v>42</v>
      </c>
      <c r="D166" s="23" t="s">
        <v>18</v>
      </c>
      <c r="E166" s="23" t="s">
        <v>107</v>
      </c>
      <c r="F166" s="21">
        <v>11</v>
      </c>
      <c r="G166" s="24">
        <v>540.95000000000005</v>
      </c>
      <c r="H166" s="29">
        <f t="shared" si="5"/>
        <v>5950.4500000000007</v>
      </c>
      <c r="I166" s="23" t="s">
        <v>20</v>
      </c>
      <c r="J166" s="30" t="s">
        <v>21</v>
      </c>
    </row>
    <row r="167" spans="1:10" x14ac:dyDescent="0.25">
      <c r="A167" s="26">
        <v>166</v>
      </c>
      <c r="B167" s="27" t="s">
        <v>99</v>
      </c>
      <c r="C167" s="28" t="s">
        <v>42</v>
      </c>
      <c r="D167" s="28" t="s">
        <v>12</v>
      </c>
      <c r="E167" s="28" t="s">
        <v>60</v>
      </c>
      <c r="F167" s="26">
        <v>7</v>
      </c>
      <c r="G167" s="29">
        <v>194.95</v>
      </c>
      <c r="H167" s="29">
        <f t="shared" si="5"/>
        <v>1364.6499999999999</v>
      </c>
      <c r="I167" s="28" t="s">
        <v>38</v>
      </c>
      <c r="J167" s="30" t="s">
        <v>21</v>
      </c>
    </row>
    <row r="168" spans="1:10" x14ac:dyDescent="0.25">
      <c r="A168" s="21">
        <v>167</v>
      </c>
      <c r="B168" s="22" t="s">
        <v>99</v>
      </c>
      <c r="C168" s="23" t="s">
        <v>17</v>
      </c>
      <c r="D168" s="23" t="s">
        <v>27</v>
      </c>
      <c r="E168" s="23" t="s">
        <v>66</v>
      </c>
      <c r="F168" s="21">
        <v>50</v>
      </c>
      <c r="G168" s="24">
        <v>413.95</v>
      </c>
      <c r="H168" s="29">
        <f t="shared" si="5"/>
        <v>20697.5</v>
      </c>
      <c r="I168" s="23" t="s">
        <v>38</v>
      </c>
      <c r="J168" s="30" t="s">
        <v>21</v>
      </c>
    </row>
    <row r="169" spans="1:10" x14ac:dyDescent="0.25">
      <c r="A169" s="26">
        <v>168</v>
      </c>
      <c r="B169" s="27" t="s">
        <v>99</v>
      </c>
      <c r="C169" s="28" t="s">
        <v>17</v>
      </c>
      <c r="D169" s="28" t="s">
        <v>23</v>
      </c>
      <c r="E169" s="28" t="s">
        <v>115</v>
      </c>
      <c r="F169" s="26">
        <v>12</v>
      </c>
      <c r="G169" s="29">
        <v>410.5</v>
      </c>
      <c r="H169" s="29">
        <f t="shared" si="5"/>
        <v>4926</v>
      </c>
      <c r="I169" s="28" t="s">
        <v>14</v>
      </c>
      <c r="J169" s="30" t="s">
        <v>21</v>
      </c>
    </row>
    <row r="170" spans="1:10" x14ac:dyDescent="0.25">
      <c r="A170" s="21">
        <v>169</v>
      </c>
      <c r="B170" s="22" t="s">
        <v>99</v>
      </c>
      <c r="C170" s="23" t="s">
        <v>36</v>
      </c>
      <c r="D170" s="23" t="s">
        <v>46</v>
      </c>
      <c r="E170" s="23" t="s">
        <v>62</v>
      </c>
      <c r="F170" s="21">
        <v>4</v>
      </c>
      <c r="G170" s="24">
        <v>49.49</v>
      </c>
      <c r="H170" s="29">
        <f t="shared" si="5"/>
        <v>197.96</v>
      </c>
      <c r="I170" s="23" t="s">
        <v>20</v>
      </c>
      <c r="J170" s="25" t="s">
        <v>15</v>
      </c>
    </row>
    <row r="171" spans="1:10" x14ac:dyDescent="0.25">
      <c r="A171" s="26">
        <v>170</v>
      </c>
      <c r="B171" s="27" t="s">
        <v>99</v>
      </c>
      <c r="C171" s="28" t="s">
        <v>55</v>
      </c>
      <c r="D171" s="28" t="s">
        <v>18</v>
      </c>
      <c r="E171" s="28" t="s">
        <v>101</v>
      </c>
      <c r="F171" s="26">
        <v>7</v>
      </c>
      <c r="G171" s="29">
        <v>62.8</v>
      </c>
      <c r="H171" s="29">
        <f t="shared" si="5"/>
        <v>439.59999999999997</v>
      </c>
      <c r="I171" s="28" t="s">
        <v>14</v>
      </c>
      <c r="J171" s="25" t="s">
        <v>15</v>
      </c>
    </row>
    <row r="172" spans="1:10" x14ac:dyDescent="0.25">
      <c r="A172" s="21">
        <v>171</v>
      </c>
      <c r="B172" s="22" t="s">
        <v>99</v>
      </c>
      <c r="C172" s="23" t="s">
        <v>42</v>
      </c>
      <c r="D172" s="23" t="s">
        <v>46</v>
      </c>
      <c r="E172" s="23" t="s">
        <v>49</v>
      </c>
      <c r="F172" s="21">
        <v>9</v>
      </c>
      <c r="G172" s="24">
        <v>321</v>
      </c>
      <c r="H172" s="29">
        <f t="shared" si="5"/>
        <v>2889</v>
      </c>
      <c r="I172" s="23" t="s">
        <v>14</v>
      </c>
      <c r="J172" s="30" t="s">
        <v>21</v>
      </c>
    </row>
    <row r="173" spans="1:10" x14ac:dyDescent="0.25">
      <c r="A173" s="26">
        <v>172</v>
      </c>
      <c r="B173" s="27" t="s">
        <v>99</v>
      </c>
      <c r="C173" s="28" t="s">
        <v>11</v>
      </c>
      <c r="D173" s="28" t="s">
        <v>12</v>
      </c>
      <c r="E173" s="28" t="s">
        <v>116</v>
      </c>
      <c r="F173" s="26">
        <v>5</v>
      </c>
      <c r="G173" s="29">
        <v>296.95</v>
      </c>
      <c r="H173" s="29">
        <f t="shared" si="5"/>
        <v>1484.75</v>
      </c>
      <c r="I173" s="28" t="s">
        <v>20</v>
      </c>
      <c r="J173" s="30" t="s">
        <v>21</v>
      </c>
    </row>
    <row r="174" spans="1:10" x14ac:dyDescent="0.25">
      <c r="A174" s="21">
        <v>173</v>
      </c>
      <c r="B174" s="22" t="s">
        <v>99</v>
      </c>
      <c r="C174" s="23" t="s">
        <v>55</v>
      </c>
      <c r="D174" s="23" t="s">
        <v>27</v>
      </c>
      <c r="E174" s="23" t="s">
        <v>66</v>
      </c>
      <c r="F174" s="21">
        <v>10</v>
      </c>
      <c r="G174" s="24">
        <v>441.99</v>
      </c>
      <c r="H174" s="29">
        <f t="shared" si="5"/>
        <v>4419.8999999999996</v>
      </c>
      <c r="I174" s="23" t="s">
        <v>25</v>
      </c>
      <c r="J174" s="30" t="s">
        <v>21</v>
      </c>
    </row>
    <row r="175" spans="1:10" x14ac:dyDescent="0.25">
      <c r="A175" s="26">
        <v>174</v>
      </c>
      <c r="B175" s="27" t="s">
        <v>99</v>
      </c>
      <c r="C175" s="28" t="s">
        <v>42</v>
      </c>
      <c r="D175" s="28" t="s">
        <v>23</v>
      </c>
      <c r="E175" s="28" t="s">
        <v>48</v>
      </c>
      <c r="F175" s="26">
        <v>2</v>
      </c>
      <c r="G175" s="29">
        <v>478.9</v>
      </c>
      <c r="H175" s="29">
        <f t="shared" si="5"/>
        <v>957.8</v>
      </c>
      <c r="I175" s="28" t="s">
        <v>33</v>
      </c>
      <c r="J175" s="30" t="s">
        <v>21</v>
      </c>
    </row>
    <row r="176" spans="1:10" x14ac:dyDescent="0.25">
      <c r="A176" s="21">
        <v>175</v>
      </c>
      <c r="B176" s="22" t="s">
        <v>99</v>
      </c>
      <c r="C176" s="23" t="s">
        <v>42</v>
      </c>
      <c r="D176" s="23" t="s">
        <v>27</v>
      </c>
      <c r="E176" s="23" t="s">
        <v>66</v>
      </c>
      <c r="F176" s="21">
        <v>3</v>
      </c>
      <c r="G176" s="24">
        <v>420.5</v>
      </c>
      <c r="H176" s="29">
        <f t="shared" si="5"/>
        <v>1261.5</v>
      </c>
      <c r="I176" s="23" t="s">
        <v>25</v>
      </c>
      <c r="J176" s="25" t="s">
        <v>15</v>
      </c>
    </row>
    <row r="177" spans="1:10" x14ac:dyDescent="0.25">
      <c r="A177" s="26">
        <v>176</v>
      </c>
      <c r="B177" s="27" t="s">
        <v>99</v>
      </c>
      <c r="C177" s="28" t="s">
        <v>45</v>
      </c>
      <c r="D177" s="28" t="s">
        <v>27</v>
      </c>
      <c r="E177" s="28" t="s">
        <v>53</v>
      </c>
      <c r="F177" s="26">
        <v>3</v>
      </c>
      <c r="G177" s="29">
        <v>1902.5</v>
      </c>
      <c r="H177" s="29">
        <f t="shared" si="5"/>
        <v>5707.5</v>
      </c>
      <c r="I177" s="28" t="s">
        <v>33</v>
      </c>
      <c r="J177" s="30" t="s">
        <v>21</v>
      </c>
    </row>
    <row r="178" spans="1:10" x14ac:dyDescent="0.25">
      <c r="A178" s="21">
        <v>177</v>
      </c>
      <c r="B178" s="22" t="s">
        <v>99</v>
      </c>
      <c r="C178" s="23" t="s">
        <v>36</v>
      </c>
      <c r="D178" s="23" t="s">
        <v>18</v>
      </c>
      <c r="E178" s="23" t="s">
        <v>43</v>
      </c>
      <c r="F178" s="21">
        <v>2</v>
      </c>
      <c r="G178" s="24">
        <v>335.95</v>
      </c>
      <c r="H178" s="29">
        <f t="shared" si="5"/>
        <v>671.9</v>
      </c>
      <c r="I178" s="23" t="s">
        <v>20</v>
      </c>
      <c r="J178" s="30" t="s">
        <v>21</v>
      </c>
    </row>
    <row r="179" spans="1:10" x14ac:dyDescent="0.25">
      <c r="A179" s="26">
        <v>178</v>
      </c>
      <c r="B179" s="27" t="s">
        <v>99</v>
      </c>
      <c r="C179" s="28" t="s">
        <v>42</v>
      </c>
      <c r="D179" s="28" t="s">
        <v>18</v>
      </c>
      <c r="E179" s="28" t="s">
        <v>19</v>
      </c>
      <c r="F179" s="26">
        <v>12</v>
      </c>
      <c r="G179" s="29">
        <v>276.89999999999998</v>
      </c>
      <c r="H179" s="29">
        <f t="shared" si="5"/>
        <v>3322.7999999999997</v>
      </c>
      <c r="I179" s="28" t="s">
        <v>38</v>
      </c>
      <c r="J179" s="30" t="s">
        <v>21</v>
      </c>
    </row>
    <row r="180" spans="1:10" x14ac:dyDescent="0.25">
      <c r="A180" s="21">
        <v>179</v>
      </c>
      <c r="B180" s="22" t="s">
        <v>99</v>
      </c>
      <c r="C180" s="23" t="s">
        <v>36</v>
      </c>
      <c r="D180" s="23" t="s">
        <v>23</v>
      </c>
      <c r="E180" s="23" t="s">
        <v>108</v>
      </c>
      <c r="F180" s="21">
        <v>4</v>
      </c>
      <c r="G180" s="24">
        <v>336</v>
      </c>
      <c r="H180" s="29">
        <f t="shared" si="5"/>
        <v>1344</v>
      </c>
      <c r="I180" s="23" t="s">
        <v>38</v>
      </c>
      <c r="J180" s="25" t="s">
        <v>15</v>
      </c>
    </row>
    <row r="181" spans="1:10" x14ac:dyDescent="0.25">
      <c r="A181" s="26">
        <v>180</v>
      </c>
      <c r="B181" s="27" t="s">
        <v>99</v>
      </c>
      <c r="C181" s="28" t="s">
        <v>42</v>
      </c>
      <c r="D181" s="28" t="s">
        <v>27</v>
      </c>
      <c r="E181" s="28" t="s">
        <v>53</v>
      </c>
      <c r="F181" s="26">
        <v>1</v>
      </c>
      <c r="G181" s="29">
        <v>1933.5</v>
      </c>
      <c r="H181" s="29">
        <f t="shared" si="5"/>
        <v>1933.5</v>
      </c>
      <c r="I181" s="28" t="s">
        <v>33</v>
      </c>
      <c r="J181" s="30" t="s">
        <v>21</v>
      </c>
    </row>
    <row r="182" spans="1:10" x14ac:dyDescent="0.25">
      <c r="A182" s="21">
        <v>181</v>
      </c>
      <c r="B182" s="22" t="s">
        <v>99</v>
      </c>
      <c r="C182" s="23" t="s">
        <v>45</v>
      </c>
      <c r="D182" s="23" t="s">
        <v>27</v>
      </c>
      <c r="E182" s="23" t="s">
        <v>28</v>
      </c>
      <c r="F182" s="21">
        <v>11</v>
      </c>
      <c r="G182" s="24">
        <v>928</v>
      </c>
      <c r="H182" s="29">
        <f t="shared" si="5"/>
        <v>10208</v>
      </c>
      <c r="I182" s="23" t="s">
        <v>25</v>
      </c>
      <c r="J182" s="30" t="s">
        <v>21</v>
      </c>
    </row>
    <row r="183" spans="1:10" x14ac:dyDescent="0.25">
      <c r="A183" s="26">
        <v>182</v>
      </c>
      <c r="B183" s="27" t="s">
        <v>99</v>
      </c>
      <c r="C183" s="28" t="s">
        <v>22</v>
      </c>
      <c r="D183" s="28" t="s">
        <v>46</v>
      </c>
      <c r="E183" s="28" t="s">
        <v>105</v>
      </c>
      <c r="F183" s="26">
        <v>20</v>
      </c>
      <c r="G183" s="29">
        <v>248.5</v>
      </c>
      <c r="H183" s="29">
        <f t="shared" si="5"/>
        <v>4970</v>
      </c>
      <c r="I183" s="28" t="s">
        <v>20</v>
      </c>
      <c r="J183" s="31" t="s">
        <v>34</v>
      </c>
    </row>
    <row r="184" spans="1:10" x14ac:dyDescent="0.25">
      <c r="A184" s="21">
        <v>183</v>
      </c>
      <c r="B184" s="22" t="s">
        <v>99</v>
      </c>
      <c r="C184" s="23" t="s">
        <v>55</v>
      </c>
      <c r="D184" s="23" t="s">
        <v>27</v>
      </c>
      <c r="E184" s="23" t="s">
        <v>40</v>
      </c>
      <c r="F184" s="21">
        <v>6</v>
      </c>
      <c r="G184" s="24">
        <v>1335</v>
      </c>
      <c r="H184" s="29">
        <f t="shared" si="5"/>
        <v>8010</v>
      </c>
      <c r="I184" s="23" t="s">
        <v>33</v>
      </c>
      <c r="J184" s="31" t="s">
        <v>34</v>
      </c>
    </row>
    <row r="185" spans="1:10" x14ac:dyDescent="0.25">
      <c r="A185" s="26">
        <v>184</v>
      </c>
      <c r="B185" s="27" t="s">
        <v>99</v>
      </c>
      <c r="C185" s="28" t="s">
        <v>42</v>
      </c>
      <c r="D185" s="28" t="s">
        <v>23</v>
      </c>
      <c r="E185" s="28" t="s">
        <v>108</v>
      </c>
      <c r="F185" s="26">
        <v>3</v>
      </c>
      <c r="G185" s="29">
        <v>338.99</v>
      </c>
      <c r="H185" s="29">
        <f t="shared" si="5"/>
        <v>1016.97</v>
      </c>
      <c r="I185" s="28" t="s">
        <v>25</v>
      </c>
      <c r="J185" s="30" t="s">
        <v>21</v>
      </c>
    </row>
    <row r="186" spans="1:10" x14ac:dyDescent="0.25">
      <c r="A186" s="21">
        <v>185</v>
      </c>
      <c r="B186" s="22" t="s">
        <v>99</v>
      </c>
      <c r="C186" s="23" t="s">
        <v>45</v>
      </c>
      <c r="D186" s="23" t="s">
        <v>18</v>
      </c>
      <c r="E186" s="23" t="s">
        <v>19</v>
      </c>
      <c r="F186" s="21">
        <v>7</v>
      </c>
      <c r="G186" s="24">
        <v>291.89999999999998</v>
      </c>
      <c r="H186" s="29">
        <f t="shared" si="5"/>
        <v>2043.2999999999997</v>
      </c>
      <c r="I186" s="23" t="s">
        <v>33</v>
      </c>
      <c r="J186" s="30" t="s">
        <v>21</v>
      </c>
    </row>
    <row r="187" spans="1:10" x14ac:dyDescent="0.25">
      <c r="A187" s="26">
        <v>186</v>
      </c>
      <c r="B187" s="27" t="s">
        <v>99</v>
      </c>
      <c r="C187" s="28" t="s">
        <v>36</v>
      </c>
      <c r="D187" s="28" t="s">
        <v>23</v>
      </c>
      <c r="E187" s="28" t="s">
        <v>37</v>
      </c>
      <c r="F187" s="26">
        <v>9</v>
      </c>
      <c r="G187" s="29">
        <v>334.49</v>
      </c>
      <c r="H187" s="29">
        <f t="shared" si="5"/>
        <v>3010.41</v>
      </c>
      <c r="I187" s="28" t="s">
        <v>33</v>
      </c>
      <c r="J187" s="30" t="s">
        <v>21</v>
      </c>
    </row>
    <row r="188" spans="1:10" x14ac:dyDescent="0.25">
      <c r="A188" s="21">
        <v>187</v>
      </c>
      <c r="B188" s="22" t="s">
        <v>99</v>
      </c>
      <c r="C188" s="23" t="s">
        <v>36</v>
      </c>
      <c r="D188" s="23" t="s">
        <v>23</v>
      </c>
      <c r="E188" s="23" t="s">
        <v>102</v>
      </c>
      <c r="F188" s="21">
        <v>7</v>
      </c>
      <c r="G188" s="24">
        <v>135.99</v>
      </c>
      <c r="H188" s="29">
        <f t="shared" si="5"/>
        <v>951.93000000000006</v>
      </c>
      <c r="I188" s="23" t="s">
        <v>25</v>
      </c>
      <c r="J188" s="30" t="s">
        <v>21</v>
      </c>
    </row>
    <row r="189" spans="1:10" x14ac:dyDescent="0.25">
      <c r="A189" s="26">
        <v>188</v>
      </c>
      <c r="B189" s="27" t="s">
        <v>99</v>
      </c>
      <c r="C189" s="28" t="s">
        <v>11</v>
      </c>
      <c r="D189" s="28" t="s">
        <v>18</v>
      </c>
      <c r="E189" s="28" t="s">
        <v>19</v>
      </c>
      <c r="F189" s="26">
        <v>2</v>
      </c>
      <c r="G189" s="29">
        <v>301.7</v>
      </c>
      <c r="H189" s="29">
        <f t="shared" si="5"/>
        <v>603.4</v>
      </c>
      <c r="I189" s="28" t="s">
        <v>38</v>
      </c>
      <c r="J189" s="30" t="s">
        <v>21</v>
      </c>
    </row>
    <row r="190" spans="1:10" x14ac:dyDescent="0.25">
      <c r="A190" s="21">
        <v>189</v>
      </c>
      <c r="B190" s="22" t="s">
        <v>99</v>
      </c>
      <c r="C190" s="23" t="s">
        <v>36</v>
      </c>
      <c r="D190" s="23" t="s">
        <v>12</v>
      </c>
      <c r="E190" s="23" t="s">
        <v>116</v>
      </c>
      <c r="F190" s="21">
        <v>5</v>
      </c>
      <c r="G190" s="24">
        <v>313.99</v>
      </c>
      <c r="H190" s="29">
        <f t="shared" si="5"/>
        <v>1569.95</v>
      </c>
      <c r="I190" s="23" t="s">
        <v>38</v>
      </c>
      <c r="J190" s="25" t="s">
        <v>15</v>
      </c>
    </row>
    <row r="191" spans="1:10" x14ac:dyDescent="0.25">
      <c r="A191" s="26">
        <v>190</v>
      </c>
      <c r="B191" s="27" t="s">
        <v>99</v>
      </c>
      <c r="C191" s="28" t="s">
        <v>11</v>
      </c>
      <c r="D191" s="28" t="s">
        <v>27</v>
      </c>
      <c r="E191" s="28" t="s">
        <v>58</v>
      </c>
      <c r="F191" s="26">
        <v>15</v>
      </c>
      <c r="G191" s="29">
        <v>1823.95</v>
      </c>
      <c r="H191" s="29">
        <f t="shared" si="5"/>
        <v>27359.25</v>
      </c>
      <c r="I191" s="28" t="s">
        <v>38</v>
      </c>
      <c r="J191" s="30" t="s">
        <v>21</v>
      </c>
    </row>
    <row r="192" spans="1:10" x14ac:dyDescent="0.25">
      <c r="A192" s="21">
        <v>191</v>
      </c>
      <c r="B192" s="22" t="s">
        <v>99</v>
      </c>
      <c r="C192" s="23" t="s">
        <v>11</v>
      </c>
      <c r="D192" s="23" t="s">
        <v>23</v>
      </c>
      <c r="E192" s="23" t="s">
        <v>70</v>
      </c>
      <c r="F192" s="21">
        <v>10</v>
      </c>
      <c r="G192" s="24">
        <v>287.89999999999998</v>
      </c>
      <c r="H192" s="29">
        <f t="shared" si="5"/>
        <v>2879</v>
      </c>
      <c r="I192" s="23" t="s">
        <v>14</v>
      </c>
      <c r="J192" s="25" t="s">
        <v>15</v>
      </c>
    </row>
    <row r="193" spans="1:10" x14ac:dyDescent="0.25">
      <c r="A193" s="26">
        <v>192</v>
      </c>
      <c r="B193" s="27" t="s">
        <v>99</v>
      </c>
      <c r="C193" s="28" t="s">
        <v>36</v>
      </c>
      <c r="D193" s="28" t="s">
        <v>27</v>
      </c>
      <c r="E193" s="28" t="s">
        <v>58</v>
      </c>
      <c r="F193" s="26">
        <v>4</v>
      </c>
      <c r="G193" s="29">
        <v>1843</v>
      </c>
      <c r="H193" s="29">
        <f t="shared" si="5"/>
        <v>7372</v>
      </c>
      <c r="I193" s="28" t="s">
        <v>33</v>
      </c>
      <c r="J193" s="30" t="s">
        <v>21</v>
      </c>
    </row>
    <row r="194" spans="1:10" x14ac:dyDescent="0.25">
      <c r="A194" s="21">
        <v>193</v>
      </c>
      <c r="B194" s="22" t="s">
        <v>99</v>
      </c>
      <c r="C194" s="23" t="s">
        <v>36</v>
      </c>
      <c r="D194" s="23" t="s">
        <v>12</v>
      </c>
      <c r="E194" s="23" t="s">
        <v>76</v>
      </c>
      <c r="F194" s="21">
        <v>7</v>
      </c>
      <c r="G194" s="24">
        <v>357.9</v>
      </c>
      <c r="H194" s="29">
        <f t="shared" ref="H194:H201" si="6">F194*G194</f>
        <v>2505.2999999999997</v>
      </c>
      <c r="I194" s="23" t="s">
        <v>14</v>
      </c>
      <c r="J194" s="25" t="s">
        <v>15</v>
      </c>
    </row>
    <row r="195" spans="1:10" x14ac:dyDescent="0.25">
      <c r="A195" s="26">
        <v>194</v>
      </c>
      <c r="B195" s="27" t="s">
        <v>99</v>
      </c>
      <c r="C195" s="28" t="s">
        <v>17</v>
      </c>
      <c r="D195" s="28" t="s">
        <v>27</v>
      </c>
      <c r="E195" s="28" t="s">
        <v>53</v>
      </c>
      <c r="F195" s="26">
        <v>10</v>
      </c>
      <c r="G195" s="29">
        <v>1937.5</v>
      </c>
      <c r="H195" s="29">
        <f t="shared" si="6"/>
        <v>19375</v>
      </c>
      <c r="I195" s="28" t="s">
        <v>38</v>
      </c>
      <c r="J195" s="30" t="s">
        <v>21</v>
      </c>
    </row>
    <row r="196" spans="1:10" x14ac:dyDescent="0.25">
      <c r="A196" s="21">
        <v>195</v>
      </c>
      <c r="B196" s="22" t="s">
        <v>99</v>
      </c>
      <c r="C196" s="23" t="s">
        <v>11</v>
      </c>
      <c r="D196" s="23" t="s">
        <v>46</v>
      </c>
      <c r="E196" s="23" t="s">
        <v>47</v>
      </c>
      <c r="F196" s="21">
        <v>5</v>
      </c>
      <c r="G196" s="24">
        <v>221.99</v>
      </c>
      <c r="H196" s="29">
        <f t="shared" si="6"/>
        <v>1109.95</v>
      </c>
      <c r="I196" s="23" t="s">
        <v>33</v>
      </c>
      <c r="J196" s="30" t="s">
        <v>21</v>
      </c>
    </row>
    <row r="197" spans="1:10" x14ac:dyDescent="0.25">
      <c r="A197" s="26">
        <v>196</v>
      </c>
      <c r="B197" s="27" t="s">
        <v>99</v>
      </c>
      <c r="C197" s="28" t="s">
        <v>36</v>
      </c>
      <c r="D197" s="28" t="s">
        <v>18</v>
      </c>
      <c r="E197" s="28" t="s">
        <v>101</v>
      </c>
      <c r="F197" s="26">
        <v>3</v>
      </c>
      <c r="G197" s="29">
        <v>59.49</v>
      </c>
      <c r="H197" s="29">
        <f t="shared" si="6"/>
        <v>178.47</v>
      </c>
      <c r="I197" s="28" t="s">
        <v>33</v>
      </c>
      <c r="J197" s="25" t="s">
        <v>15</v>
      </c>
    </row>
    <row r="198" spans="1:10" x14ac:dyDescent="0.25">
      <c r="A198" s="21">
        <v>197</v>
      </c>
      <c r="B198" s="22" t="s">
        <v>99</v>
      </c>
      <c r="C198" s="23" t="s">
        <v>17</v>
      </c>
      <c r="D198" s="23" t="s">
        <v>12</v>
      </c>
      <c r="E198" s="23" t="s">
        <v>88</v>
      </c>
      <c r="F198" s="21">
        <v>9</v>
      </c>
      <c r="G198" s="24">
        <v>1249.49</v>
      </c>
      <c r="H198" s="29">
        <f t="shared" si="6"/>
        <v>11245.41</v>
      </c>
      <c r="I198" s="23" t="s">
        <v>25</v>
      </c>
      <c r="J198" s="30" t="s">
        <v>21</v>
      </c>
    </row>
    <row r="199" spans="1:10" x14ac:dyDescent="0.25">
      <c r="A199" s="26">
        <v>198</v>
      </c>
      <c r="B199" s="27" t="s">
        <v>99</v>
      </c>
      <c r="C199" s="28" t="s">
        <v>17</v>
      </c>
      <c r="D199" s="28" t="s">
        <v>46</v>
      </c>
      <c r="E199" s="28" t="s">
        <v>103</v>
      </c>
      <c r="F199" s="26">
        <v>7</v>
      </c>
      <c r="G199" s="29">
        <v>383.5</v>
      </c>
      <c r="H199" s="29">
        <f t="shared" si="6"/>
        <v>2684.5</v>
      </c>
      <c r="I199" s="28" t="s">
        <v>38</v>
      </c>
      <c r="J199" s="30" t="s">
        <v>21</v>
      </c>
    </row>
    <row r="200" spans="1:10" x14ac:dyDescent="0.25">
      <c r="A200" s="21">
        <v>199</v>
      </c>
      <c r="B200" s="22" t="s">
        <v>99</v>
      </c>
      <c r="C200" s="23" t="s">
        <v>17</v>
      </c>
      <c r="D200" s="23" t="s">
        <v>27</v>
      </c>
      <c r="E200" s="23" t="s">
        <v>82</v>
      </c>
      <c r="F200" s="21">
        <v>2</v>
      </c>
      <c r="G200" s="24">
        <v>4222.49</v>
      </c>
      <c r="H200" s="29">
        <f t="shared" si="6"/>
        <v>8444.98</v>
      </c>
      <c r="I200" s="23" t="s">
        <v>38</v>
      </c>
      <c r="J200" s="30" t="s">
        <v>21</v>
      </c>
    </row>
    <row r="201" spans="1:10" x14ac:dyDescent="0.25">
      <c r="A201" s="33">
        <v>200</v>
      </c>
      <c r="B201" s="34" t="s">
        <v>99</v>
      </c>
      <c r="C201" s="35" t="s">
        <v>42</v>
      </c>
      <c r="D201" s="35" t="s">
        <v>12</v>
      </c>
      <c r="E201" s="35" t="s">
        <v>76</v>
      </c>
      <c r="F201" s="33">
        <v>8</v>
      </c>
      <c r="G201" s="36">
        <v>333.7</v>
      </c>
      <c r="H201" s="29">
        <f t="shared" si="6"/>
        <v>2669.6</v>
      </c>
      <c r="I201" s="35" t="s">
        <v>33</v>
      </c>
      <c r="J201" s="37" t="s">
        <v>21</v>
      </c>
    </row>
    <row r="202" spans="1:10" x14ac:dyDescent="0.25">
      <c r="A202" s="20"/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showGridLines="0" zoomScaleNormal="100" workbookViewId="0">
      <selection activeCell="A5" sqref="A5:B5"/>
    </sheetView>
  </sheetViews>
  <sheetFormatPr defaultColWidth="8.7109375" defaultRowHeight="15" x14ac:dyDescent="0.25"/>
  <cols>
    <col min="1" max="1" width="18" style="1" customWidth="1"/>
    <col min="2" max="2" width="12" style="1" customWidth="1"/>
    <col min="3" max="3" width="16" style="1" customWidth="1"/>
    <col min="4" max="4" width="12" style="1" customWidth="1"/>
    <col min="5" max="5" width="4" style="1" customWidth="1"/>
    <col min="6" max="6" width="18" style="1" customWidth="1"/>
    <col min="7" max="7" width="10" style="1" customWidth="1"/>
    <col min="8" max="8" width="16" style="1" customWidth="1"/>
    <col min="9" max="9" width="12" style="1" customWidth="1"/>
  </cols>
  <sheetData>
    <row r="1" spans="1:9" ht="31.5" customHeight="1" x14ac:dyDescent="0.25">
      <c r="A1" s="42" t="s">
        <v>117</v>
      </c>
      <c r="B1" s="40"/>
      <c r="C1" s="40"/>
      <c r="D1" s="40"/>
      <c r="E1" s="40"/>
      <c r="F1" s="40"/>
      <c r="G1" s="40"/>
      <c r="H1" s="40"/>
    </row>
    <row r="3" spans="1:9" ht="13.5" customHeight="1" x14ac:dyDescent="0.25">
      <c r="A3" s="43" t="s">
        <v>118</v>
      </c>
      <c r="B3" s="40"/>
      <c r="C3" s="43" t="s">
        <v>119</v>
      </c>
      <c r="D3" s="40"/>
      <c r="E3" s="43" t="s">
        <v>120</v>
      </c>
      <c r="F3" s="40"/>
      <c r="G3" s="43" t="s">
        <v>121</v>
      </c>
      <c r="H3" s="40"/>
    </row>
    <row r="4" spans="1:9" ht="31.5" customHeight="1" x14ac:dyDescent="0.25">
      <c r="A4" s="44">
        <v>200</v>
      </c>
      <c r="B4" s="45"/>
      <c r="C4" s="44" t="s">
        <v>122</v>
      </c>
      <c r="D4" s="45"/>
      <c r="E4" s="44" t="s">
        <v>123</v>
      </c>
      <c r="F4" s="45"/>
      <c r="G4" s="44">
        <v>120</v>
      </c>
      <c r="H4" s="45"/>
    </row>
    <row r="5" spans="1:9" ht="19.5" customHeight="1" x14ac:dyDescent="0.25">
      <c r="A5" s="40"/>
      <c r="B5" s="40"/>
      <c r="C5" s="40"/>
      <c r="D5" s="40"/>
      <c r="E5" s="40"/>
      <c r="F5" s="40"/>
      <c r="G5" s="40"/>
      <c r="H5" s="40"/>
    </row>
    <row r="7" spans="1:9" ht="19.5" customHeight="1" x14ac:dyDescent="0.25">
      <c r="A7" s="41" t="s">
        <v>124</v>
      </c>
      <c r="B7" s="40"/>
      <c r="C7" s="40"/>
      <c r="D7" s="40"/>
      <c r="F7" s="46" t="s">
        <v>125</v>
      </c>
      <c r="G7" s="40"/>
      <c r="H7" s="40"/>
      <c r="I7" s="40"/>
    </row>
    <row r="8" spans="1:9" ht="18" customHeight="1" x14ac:dyDescent="0.25">
      <c r="A8" s="3" t="s">
        <v>3</v>
      </c>
      <c r="B8" s="3" t="s">
        <v>126</v>
      </c>
      <c r="C8" s="3" t="s">
        <v>127</v>
      </c>
      <c r="D8" s="3" t="s">
        <v>128</v>
      </c>
      <c r="F8" s="3" t="s">
        <v>2</v>
      </c>
      <c r="G8" s="3" t="s">
        <v>129</v>
      </c>
      <c r="H8" s="3" t="s">
        <v>127</v>
      </c>
      <c r="I8" s="3" t="s">
        <v>120</v>
      </c>
    </row>
    <row r="9" spans="1:9" ht="15" customHeight="1" x14ac:dyDescent="0.25">
      <c r="A9" s="4" t="s">
        <v>27</v>
      </c>
      <c r="B9" s="5">
        <v>42</v>
      </c>
      <c r="C9" s="6">
        <v>423993.45</v>
      </c>
      <c r="D9" s="7">
        <v>0.56073265561308905</v>
      </c>
      <c r="F9" s="4" t="s">
        <v>42</v>
      </c>
      <c r="G9" s="5">
        <v>35</v>
      </c>
      <c r="H9" s="6">
        <v>157122.28</v>
      </c>
      <c r="I9" s="6">
        <v>4489.2079999999996</v>
      </c>
    </row>
    <row r="10" spans="1:9" ht="15" customHeight="1" x14ac:dyDescent="0.25">
      <c r="A10" s="8" t="s">
        <v>12</v>
      </c>
      <c r="B10" s="9">
        <v>40</v>
      </c>
      <c r="C10" s="10">
        <v>125012.35</v>
      </c>
      <c r="D10" s="11">
        <v>0.165329221477202</v>
      </c>
      <c r="F10" s="8" t="s">
        <v>11</v>
      </c>
      <c r="G10" s="9">
        <v>33</v>
      </c>
      <c r="H10" s="10">
        <v>152564.04999999999</v>
      </c>
      <c r="I10" s="10">
        <v>4623.1530303030304</v>
      </c>
    </row>
    <row r="11" spans="1:9" ht="15" customHeight="1" x14ac:dyDescent="0.25">
      <c r="A11" s="4" t="s">
        <v>23</v>
      </c>
      <c r="B11" s="5">
        <v>40</v>
      </c>
      <c r="C11" s="6">
        <v>94203.26</v>
      </c>
      <c r="D11" s="7">
        <v>0.124584104181822</v>
      </c>
      <c r="F11" s="4" t="s">
        <v>17</v>
      </c>
      <c r="G11" s="5">
        <v>33</v>
      </c>
      <c r="H11" s="6">
        <v>125315.83</v>
      </c>
      <c r="I11" s="6">
        <v>3797.4493939393901</v>
      </c>
    </row>
    <row r="12" spans="1:9" ht="15" customHeight="1" x14ac:dyDescent="0.25">
      <c r="A12" s="8" t="s">
        <v>46</v>
      </c>
      <c r="B12" s="9">
        <v>42</v>
      </c>
      <c r="C12" s="10">
        <v>61376.49</v>
      </c>
      <c r="D12" s="11">
        <v>8.1170598814463202E-2</v>
      </c>
      <c r="F12" s="8" t="s">
        <v>45</v>
      </c>
      <c r="G12" s="9">
        <v>24</v>
      </c>
      <c r="H12" s="10">
        <v>102548.85</v>
      </c>
      <c r="I12" s="10">
        <v>4272.8687499999996</v>
      </c>
    </row>
    <row r="13" spans="1:9" ht="15" customHeight="1" x14ac:dyDescent="0.25">
      <c r="A13" s="4" t="s">
        <v>18</v>
      </c>
      <c r="B13" s="5">
        <v>36</v>
      </c>
      <c r="C13" s="6">
        <v>51556.34</v>
      </c>
      <c r="D13" s="7">
        <v>6.8183419913423901E-2</v>
      </c>
      <c r="F13" s="4" t="s">
        <v>55</v>
      </c>
      <c r="G13" s="5">
        <v>23</v>
      </c>
      <c r="H13" s="6">
        <v>88265.07</v>
      </c>
      <c r="I13" s="6">
        <v>3837.6117391304401</v>
      </c>
    </row>
    <row r="14" spans="1:9" ht="15" customHeight="1" x14ac:dyDescent="0.25">
      <c r="A14" s="12" t="s">
        <v>130</v>
      </c>
      <c r="B14" s="13">
        <v>200</v>
      </c>
      <c r="C14" s="14">
        <v>756141.89</v>
      </c>
      <c r="D14" s="15">
        <v>1</v>
      </c>
      <c r="F14" s="8" t="s">
        <v>36</v>
      </c>
      <c r="G14" s="9">
        <v>29</v>
      </c>
      <c r="H14" s="10">
        <v>82173.33</v>
      </c>
      <c r="I14" s="10">
        <v>2833.5631034482799</v>
      </c>
    </row>
    <row r="15" spans="1:9" ht="15" customHeight="1" x14ac:dyDescent="0.25">
      <c r="F15" s="4" t="s">
        <v>22</v>
      </c>
      <c r="G15" s="5">
        <v>23</v>
      </c>
      <c r="H15" s="6">
        <v>48152.480000000003</v>
      </c>
      <c r="I15" s="6">
        <v>2093.5860869565199</v>
      </c>
    </row>
    <row r="16" spans="1:9" ht="19.5" customHeight="1" x14ac:dyDescent="0.25">
      <c r="A16" s="41" t="s">
        <v>131</v>
      </c>
      <c r="B16" s="40"/>
      <c r="C16" s="40"/>
      <c r="D16" s="40"/>
      <c r="F16" s="39" t="s">
        <v>132</v>
      </c>
      <c r="G16" s="40"/>
      <c r="H16" s="40"/>
      <c r="I16" s="40"/>
    </row>
    <row r="17" spans="1:9" ht="18" customHeight="1" x14ac:dyDescent="0.25">
      <c r="A17" s="3" t="s">
        <v>133</v>
      </c>
      <c r="B17" s="3" t="s">
        <v>129</v>
      </c>
      <c r="C17" s="3" t="s">
        <v>127</v>
      </c>
      <c r="D17" s="3" t="s">
        <v>134</v>
      </c>
      <c r="F17" s="3" t="s">
        <v>135</v>
      </c>
      <c r="G17" s="3" t="s">
        <v>129</v>
      </c>
      <c r="H17" s="3" t="s">
        <v>127</v>
      </c>
      <c r="I17" s="3" t="s">
        <v>128</v>
      </c>
    </row>
    <row r="18" spans="1:9" ht="15" customHeight="1" x14ac:dyDescent="0.25">
      <c r="A18" s="4" t="s">
        <v>136</v>
      </c>
      <c r="B18" s="5">
        <v>16</v>
      </c>
      <c r="C18" s="6">
        <v>67927.320000000007</v>
      </c>
      <c r="D18" s="5" t="s">
        <v>137</v>
      </c>
      <c r="F18" s="4" t="s">
        <v>14</v>
      </c>
      <c r="G18" s="5">
        <v>48</v>
      </c>
      <c r="H18" s="6">
        <v>253648.99</v>
      </c>
      <c r="I18" s="7">
        <v>0.33545157774554701</v>
      </c>
    </row>
    <row r="19" spans="1:9" ht="15" customHeight="1" x14ac:dyDescent="0.25">
      <c r="A19" s="8" t="s">
        <v>138</v>
      </c>
      <c r="B19" s="9">
        <v>12</v>
      </c>
      <c r="C19" s="10">
        <v>23353.53</v>
      </c>
      <c r="D19" s="16">
        <v>-0.65619827191769098</v>
      </c>
      <c r="F19" s="8" t="s">
        <v>33</v>
      </c>
      <c r="G19" s="9">
        <v>37</v>
      </c>
      <c r="H19" s="10">
        <v>154745.07999999999</v>
      </c>
      <c r="I19" s="11">
        <v>0.20465084932670499</v>
      </c>
    </row>
    <row r="20" spans="1:9" ht="15" customHeight="1" x14ac:dyDescent="0.25">
      <c r="A20" s="4" t="s">
        <v>139</v>
      </c>
      <c r="B20" s="5">
        <v>14</v>
      </c>
      <c r="C20" s="6">
        <v>77036.37</v>
      </c>
      <c r="D20" s="17">
        <v>2.2987034508273498</v>
      </c>
      <c r="F20" s="4" t="s">
        <v>38</v>
      </c>
      <c r="G20" s="5">
        <v>45</v>
      </c>
      <c r="H20" s="6">
        <v>143085.46</v>
      </c>
      <c r="I20" s="7">
        <v>0.18923096563265401</v>
      </c>
    </row>
    <row r="21" spans="1:9" ht="15" customHeight="1" x14ac:dyDescent="0.25">
      <c r="A21" s="8" t="s">
        <v>140</v>
      </c>
      <c r="B21" s="9">
        <v>17</v>
      </c>
      <c r="C21" s="10">
        <v>36457.74</v>
      </c>
      <c r="D21" s="16">
        <v>-0.52674639264544798</v>
      </c>
      <c r="F21" s="8" t="s">
        <v>25</v>
      </c>
      <c r="G21" s="9">
        <v>32</v>
      </c>
      <c r="H21" s="10">
        <v>128686.51</v>
      </c>
      <c r="I21" s="11">
        <v>0.170188309498367</v>
      </c>
    </row>
    <row r="22" spans="1:9" ht="15" customHeight="1" x14ac:dyDescent="0.25">
      <c r="A22" s="4" t="s">
        <v>141</v>
      </c>
      <c r="B22" s="5">
        <v>20</v>
      </c>
      <c r="C22" s="6">
        <v>76371.740000000005</v>
      </c>
      <c r="D22" s="17">
        <v>1.09480181711757</v>
      </c>
      <c r="F22" s="4" t="s">
        <v>20</v>
      </c>
      <c r="G22" s="5">
        <v>38</v>
      </c>
      <c r="H22" s="6">
        <v>75975.850000000006</v>
      </c>
      <c r="I22" s="7">
        <v>0.100478297796727</v>
      </c>
    </row>
    <row r="23" spans="1:9" ht="15" customHeight="1" x14ac:dyDescent="0.25">
      <c r="A23" s="8" t="s">
        <v>142</v>
      </c>
      <c r="B23" s="9">
        <v>15</v>
      </c>
      <c r="C23" s="10">
        <v>60955.58</v>
      </c>
      <c r="D23" s="16">
        <v>-0.20185686485603199</v>
      </c>
    </row>
    <row r="24" spans="1:9" ht="15" customHeight="1" x14ac:dyDescent="0.25">
      <c r="A24" s="4" t="s">
        <v>143</v>
      </c>
      <c r="B24" s="5">
        <v>20</v>
      </c>
      <c r="C24" s="6">
        <v>80922.5</v>
      </c>
      <c r="D24" s="17">
        <v>0.32756508920102201</v>
      </c>
    </row>
    <row r="25" spans="1:9" ht="15" customHeight="1" x14ac:dyDescent="0.25">
      <c r="A25" s="8" t="s">
        <v>144</v>
      </c>
      <c r="B25" s="9">
        <v>21</v>
      </c>
      <c r="C25" s="10">
        <v>70633.460000000006</v>
      </c>
      <c r="D25" s="16">
        <v>-0.12714683802403501</v>
      </c>
    </row>
    <row r="26" spans="1:9" ht="15" customHeight="1" x14ac:dyDescent="0.25">
      <c r="A26" s="4" t="s">
        <v>145</v>
      </c>
      <c r="B26" s="5">
        <v>10</v>
      </c>
      <c r="C26" s="6">
        <v>33320.400000000001</v>
      </c>
      <c r="D26" s="18">
        <v>-0.52826323388377106</v>
      </c>
    </row>
    <row r="27" spans="1:9" ht="15" customHeight="1" x14ac:dyDescent="0.25">
      <c r="A27" s="8" t="s">
        <v>146</v>
      </c>
      <c r="B27" s="9">
        <v>19</v>
      </c>
      <c r="C27" s="10">
        <v>72898.97</v>
      </c>
      <c r="D27" s="19">
        <v>1.18781797337367</v>
      </c>
    </row>
    <row r="28" spans="1:9" ht="15" customHeight="1" x14ac:dyDescent="0.25">
      <c r="A28" s="4" t="s">
        <v>147</v>
      </c>
      <c r="B28" s="5">
        <v>17</v>
      </c>
      <c r="C28" s="6">
        <v>52595.21</v>
      </c>
      <c r="D28" s="18">
        <v>-0.27851916151901701</v>
      </c>
    </row>
    <row r="29" spans="1:9" ht="15" customHeight="1" x14ac:dyDescent="0.25">
      <c r="A29" s="8" t="s">
        <v>148</v>
      </c>
      <c r="B29" s="9">
        <v>19</v>
      </c>
      <c r="C29" s="10">
        <v>103669.07</v>
      </c>
      <c r="D29" s="19">
        <v>0.97107436209495102</v>
      </c>
    </row>
  </sheetData>
  <mergeCells count="17">
    <mergeCell ref="A7:D7"/>
    <mergeCell ref="F16:I16"/>
    <mergeCell ref="A16:D16"/>
    <mergeCell ref="A1:H1"/>
    <mergeCell ref="C3:D3"/>
    <mergeCell ref="A3:B3"/>
    <mergeCell ref="G3:H3"/>
    <mergeCell ref="E3:F3"/>
    <mergeCell ref="C4:D4"/>
    <mergeCell ref="A4:B4"/>
    <mergeCell ref="G4:H4"/>
    <mergeCell ref="E4:F4"/>
    <mergeCell ref="F7:I7"/>
    <mergeCell ref="C5:D5"/>
    <mergeCell ref="A5:B5"/>
    <mergeCell ref="G5:H5"/>
    <mergeCell ref="E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showGridLines="0" zoomScaleNormal="100" workbookViewId="0">
      <selection sqref="A1:E1"/>
    </sheetView>
  </sheetViews>
  <sheetFormatPr defaultColWidth="8.7109375" defaultRowHeight="15" x14ac:dyDescent="0.25"/>
  <cols>
    <col min="1" max="1" width="30" style="1" customWidth="1"/>
    <col min="2" max="2" width="18" style="1" customWidth="1"/>
    <col min="3" max="3" width="14" style="1" customWidth="1"/>
    <col min="4" max="4" width="20" style="1" customWidth="1"/>
    <col min="5" max="5" width="18" style="1" customWidth="1"/>
  </cols>
  <sheetData>
    <row r="1" spans="1:5" ht="27.75" customHeight="1" x14ac:dyDescent="0.25">
      <c r="A1" s="47" t="s">
        <v>149</v>
      </c>
      <c r="B1" s="40"/>
      <c r="C1" s="40"/>
      <c r="D1" s="40"/>
      <c r="E1" s="40"/>
    </row>
    <row r="2" spans="1:5" ht="18" customHeight="1" x14ac:dyDescent="0.25">
      <c r="A2" s="3" t="s">
        <v>4</v>
      </c>
      <c r="B2" s="3" t="s">
        <v>3</v>
      </c>
      <c r="C2" s="3" t="s">
        <v>150</v>
      </c>
      <c r="D2" s="3" t="s">
        <v>151</v>
      </c>
      <c r="E2" s="3" t="s">
        <v>152</v>
      </c>
    </row>
    <row r="3" spans="1:5" ht="15" customHeight="1" x14ac:dyDescent="0.25">
      <c r="A3" s="8" t="s">
        <v>56</v>
      </c>
      <c r="B3" s="9" t="s">
        <v>27</v>
      </c>
      <c r="C3" s="9">
        <v>19</v>
      </c>
      <c r="D3" s="10">
        <v>89475.41</v>
      </c>
      <c r="E3" s="10">
        <v>4709.2321052631596</v>
      </c>
    </row>
    <row r="4" spans="1:5" ht="15" customHeight="1" x14ac:dyDescent="0.25">
      <c r="A4" s="4" t="s">
        <v>53</v>
      </c>
      <c r="B4" s="5" t="s">
        <v>27</v>
      </c>
      <c r="C4" s="5">
        <v>40</v>
      </c>
      <c r="D4" s="6">
        <v>75218.3</v>
      </c>
      <c r="E4" s="6">
        <v>1880.4575</v>
      </c>
    </row>
    <row r="5" spans="1:5" ht="15" customHeight="1" x14ac:dyDescent="0.25">
      <c r="A5" s="8" t="s">
        <v>58</v>
      </c>
      <c r="B5" s="9" t="s">
        <v>27</v>
      </c>
      <c r="C5" s="9">
        <v>30</v>
      </c>
      <c r="D5" s="10">
        <v>54250.6</v>
      </c>
      <c r="E5" s="10">
        <v>1808.3533333333301</v>
      </c>
    </row>
    <row r="6" spans="1:5" ht="15" customHeight="1" x14ac:dyDescent="0.25">
      <c r="A6" s="4" t="s">
        <v>91</v>
      </c>
      <c r="B6" s="5" t="s">
        <v>12</v>
      </c>
      <c r="C6" s="5">
        <v>21</v>
      </c>
      <c r="D6" s="6">
        <v>51821.9</v>
      </c>
      <c r="E6" s="6">
        <v>2467.7095238095199</v>
      </c>
    </row>
    <row r="7" spans="1:5" ht="15" customHeight="1" x14ac:dyDescent="0.25">
      <c r="A7" s="8" t="s">
        <v>84</v>
      </c>
      <c r="B7" s="9" t="s">
        <v>27</v>
      </c>
      <c r="C7" s="9">
        <v>13</v>
      </c>
      <c r="D7" s="10">
        <v>51153.1</v>
      </c>
      <c r="E7" s="10">
        <v>3934.8538461538501</v>
      </c>
    </row>
    <row r="8" spans="1:5" ht="15" customHeight="1" x14ac:dyDescent="0.25">
      <c r="A8" s="4" t="s">
        <v>106</v>
      </c>
      <c r="B8" s="5" t="s">
        <v>27</v>
      </c>
      <c r="C8" s="5">
        <v>13</v>
      </c>
      <c r="D8" s="6">
        <v>40742.879999999997</v>
      </c>
      <c r="E8" s="6">
        <v>3134.0676923076899</v>
      </c>
    </row>
    <row r="9" spans="1:5" ht="15" customHeight="1" x14ac:dyDescent="0.25">
      <c r="A9" s="8" t="s">
        <v>88</v>
      </c>
      <c r="B9" s="9" t="s">
        <v>12</v>
      </c>
      <c r="C9" s="9">
        <v>30</v>
      </c>
      <c r="D9" s="10">
        <v>38214.01</v>
      </c>
      <c r="E9" s="10">
        <v>1273.8003333333299</v>
      </c>
    </row>
    <row r="10" spans="1:5" ht="15" customHeight="1" x14ac:dyDescent="0.25">
      <c r="A10" s="4" t="s">
        <v>28</v>
      </c>
      <c r="B10" s="5" t="s">
        <v>27</v>
      </c>
      <c r="C10" s="5">
        <v>37</v>
      </c>
      <c r="D10" s="6">
        <v>34090.519999999997</v>
      </c>
      <c r="E10" s="6">
        <v>921.365405405405</v>
      </c>
    </row>
    <row r="11" spans="1:5" ht="15" customHeight="1" x14ac:dyDescent="0.25">
      <c r="A11" s="8" t="s">
        <v>40</v>
      </c>
      <c r="B11" s="9" t="s">
        <v>27</v>
      </c>
      <c r="C11" s="9">
        <v>18</v>
      </c>
      <c r="D11" s="10">
        <v>24099.95</v>
      </c>
      <c r="E11" s="10">
        <v>1338.88611111111</v>
      </c>
    </row>
    <row r="12" spans="1:5" ht="15" customHeight="1" x14ac:dyDescent="0.25">
      <c r="A12" s="4" t="s">
        <v>82</v>
      </c>
      <c r="B12" s="5" t="s">
        <v>27</v>
      </c>
      <c r="C12" s="5">
        <v>5</v>
      </c>
      <c r="D12" s="6">
        <v>21700.48</v>
      </c>
      <c r="E12" s="6">
        <v>4340.0959999999995</v>
      </c>
    </row>
    <row r="13" spans="1:5" ht="15" customHeight="1" x14ac:dyDescent="0.25">
      <c r="A13" s="8" t="s">
        <v>66</v>
      </c>
      <c r="B13" s="9" t="s">
        <v>27</v>
      </c>
      <c r="C13" s="9">
        <v>45</v>
      </c>
      <c r="D13" s="10">
        <v>19243.41</v>
      </c>
      <c r="E13" s="10">
        <v>427.63133333333298</v>
      </c>
    </row>
    <row r="14" spans="1:5" ht="15" customHeight="1" x14ac:dyDescent="0.25">
      <c r="A14" s="4" t="s">
        <v>49</v>
      </c>
      <c r="B14" s="5" t="s">
        <v>46</v>
      </c>
      <c r="C14" s="5">
        <v>62</v>
      </c>
      <c r="D14" s="6">
        <v>18664.53</v>
      </c>
      <c r="E14" s="6">
        <v>301.04080645161298</v>
      </c>
    </row>
    <row r="15" spans="1:5" ht="15" customHeight="1" x14ac:dyDescent="0.25">
      <c r="A15" s="8" t="s">
        <v>100</v>
      </c>
      <c r="B15" s="9" t="s">
        <v>23</v>
      </c>
      <c r="C15" s="9">
        <v>25</v>
      </c>
      <c r="D15" s="10">
        <v>15793.25</v>
      </c>
      <c r="E15" s="10">
        <v>631.73</v>
      </c>
    </row>
    <row r="16" spans="1:5" ht="15" customHeight="1" x14ac:dyDescent="0.25">
      <c r="A16" s="4" t="s">
        <v>107</v>
      </c>
      <c r="B16" s="5" t="s">
        <v>18</v>
      </c>
      <c r="C16" s="5">
        <v>24</v>
      </c>
      <c r="D16" s="6">
        <v>13089.41</v>
      </c>
      <c r="E16" s="6">
        <v>545.39208333333295</v>
      </c>
    </row>
    <row r="17" spans="1:5" ht="15" customHeight="1" x14ac:dyDescent="0.25">
      <c r="A17" s="8" t="s">
        <v>76</v>
      </c>
      <c r="B17" s="9" t="s">
        <v>12</v>
      </c>
      <c r="C17" s="9">
        <v>35</v>
      </c>
      <c r="D17" s="10">
        <v>12026.44</v>
      </c>
      <c r="E17" s="10">
        <v>343.61257142857198</v>
      </c>
    </row>
    <row r="18" spans="1:5" ht="15" customHeight="1" x14ac:dyDescent="0.25">
      <c r="A18" s="4" t="s">
        <v>103</v>
      </c>
      <c r="B18" s="5" t="s">
        <v>46</v>
      </c>
      <c r="C18" s="5">
        <v>30</v>
      </c>
      <c r="D18" s="6">
        <v>11715.25</v>
      </c>
      <c r="E18" s="6">
        <v>390.50833333333298</v>
      </c>
    </row>
    <row r="19" spans="1:5" ht="15" customHeight="1" x14ac:dyDescent="0.25">
      <c r="A19" s="8" t="s">
        <v>68</v>
      </c>
      <c r="B19" s="9" t="s">
        <v>46</v>
      </c>
      <c r="C19" s="9">
        <v>45</v>
      </c>
      <c r="D19" s="10">
        <v>11313.5</v>
      </c>
      <c r="E19" s="10">
        <v>251.41111111111101</v>
      </c>
    </row>
    <row r="20" spans="1:5" ht="15" customHeight="1" x14ac:dyDescent="0.25">
      <c r="A20" s="4" t="s">
        <v>48</v>
      </c>
      <c r="B20" s="5" t="s">
        <v>23</v>
      </c>
      <c r="C20" s="5">
        <v>24</v>
      </c>
      <c r="D20" s="6">
        <v>11012.81</v>
      </c>
      <c r="E20" s="6">
        <v>458.86708333333303</v>
      </c>
    </row>
    <row r="21" spans="1:5" ht="15" customHeight="1" x14ac:dyDescent="0.25">
      <c r="A21" s="8" t="s">
        <v>30</v>
      </c>
      <c r="B21" s="9" t="s">
        <v>23</v>
      </c>
      <c r="C21" s="9">
        <v>16</v>
      </c>
      <c r="D21" s="10">
        <v>10944.84</v>
      </c>
      <c r="E21" s="10">
        <v>684.05250000000001</v>
      </c>
    </row>
    <row r="22" spans="1:5" ht="15" customHeight="1" x14ac:dyDescent="0.25">
      <c r="A22" s="4" t="s">
        <v>108</v>
      </c>
      <c r="B22" s="5" t="s">
        <v>23</v>
      </c>
      <c r="C22" s="5">
        <v>27</v>
      </c>
      <c r="D22" s="6">
        <v>9451.9699999999993</v>
      </c>
      <c r="E22" s="6">
        <v>350.072962962963</v>
      </c>
    </row>
    <row r="23" spans="1:5" ht="15" customHeight="1" x14ac:dyDescent="0.25">
      <c r="A23" s="8" t="s">
        <v>70</v>
      </c>
      <c r="B23" s="9" t="s">
        <v>23</v>
      </c>
      <c r="C23" s="9">
        <v>33</v>
      </c>
      <c r="D23" s="10">
        <v>9380.9</v>
      </c>
      <c r="E23" s="10">
        <v>284.26969696969701</v>
      </c>
    </row>
    <row r="24" spans="1:5" ht="15" customHeight="1" x14ac:dyDescent="0.25">
      <c r="A24" s="4" t="s">
        <v>19</v>
      </c>
      <c r="B24" s="5" t="s">
        <v>18</v>
      </c>
      <c r="C24" s="5">
        <v>32</v>
      </c>
      <c r="D24" s="6">
        <v>9092.9500000000007</v>
      </c>
      <c r="E24" s="6">
        <v>284.15468750000002</v>
      </c>
    </row>
    <row r="25" spans="1:5" ht="15" customHeight="1" x14ac:dyDescent="0.25">
      <c r="A25" s="8" t="s">
        <v>111</v>
      </c>
      <c r="B25" s="9" t="s">
        <v>27</v>
      </c>
      <c r="C25" s="9">
        <v>25</v>
      </c>
      <c r="D25" s="10">
        <v>8495.6</v>
      </c>
      <c r="E25" s="10">
        <v>339.82400000000001</v>
      </c>
    </row>
    <row r="26" spans="1:5" ht="15" customHeight="1" x14ac:dyDescent="0.25">
      <c r="A26" s="4" t="s">
        <v>95</v>
      </c>
      <c r="B26" s="5" t="s">
        <v>23</v>
      </c>
      <c r="C26" s="5">
        <v>9</v>
      </c>
      <c r="D26" s="6">
        <v>8427.9500000000007</v>
      </c>
      <c r="E26" s="6">
        <v>936.43888888888898</v>
      </c>
    </row>
    <row r="27" spans="1:5" ht="15" customHeight="1" x14ac:dyDescent="0.25">
      <c r="A27" s="8" t="s">
        <v>105</v>
      </c>
      <c r="B27" s="9" t="s">
        <v>46</v>
      </c>
      <c r="C27" s="9">
        <v>33</v>
      </c>
      <c r="D27" s="10">
        <v>8173.5</v>
      </c>
      <c r="E27" s="10">
        <v>247.68181818181799</v>
      </c>
    </row>
    <row r="28" spans="1:5" ht="15" customHeight="1" x14ac:dyDescent="0.25">
      <c r="A28" s="4" t="s">
        <v>78</v>
      </c>
      <c r="B28" s="5" t="s">
        <v>18</v>
      </c>
      <c r="C28" s="5">
        <v>31</v>
      </c>
      <c r="D28" s="6">
        <v>7670.5</v>
      </c>
      <c r="E28" s="6">
        <v>247.435483870968</v>
      </c>
    </row>
    <row r="29" spans="1:5" ht="15" customHeight="1" x14ac:dyDescent="0.25">
      <c r="A29" s="8" t="s">
        <v>37</v>
      </c>
      <c r="B29" s="9" t="s">
        <v>23</v>
      </c>
      <c r="C29" s="9">
        <v>23</v>
      </c>
      <c r="D29" s="10">
        <v>7349.91</v>
      </c>
      <c r="E29" s="10">
        <v>319.56130434782602</v>
      </c>
    </row>
    <row r="30" spans="1:5" ht="15" customHeight="1" x14ac:dyDescent="0.25">
      <c r="A30" s="4" t="s">
        <v>47</v>
      </c>
      <c r="B30" s="5" t="s">
        <v>46</v>
      </c>
      <c r="C30" s="5">
        <v>31</v>
      </c>
      <c r="D30" s="6">
        <v>6834.45</v>
      </c>
      <c r="E30" s="6">
        <v>220.46612903225801</v>
      </c>
    </row>
    <row r="31" spans="1:5" ht="15" customHeight="1" x14ac:dyDescent="0.25">
      <c r="A31" s="8" t="s">
        <v>104</v>
      </c>
      <c r="B31" s="9" t="s">
        <v>23</v>
      </c>
      <c r="C31" s="9">
        <v>35</v>
      </c>
      <c r="D31" s="10">
        <v>6466.05</v>
      </c>
      <c r="E31" s="10">
        <v>184.74428571428601</v>
      </c>
    </row>
    <row r="32" spans="1:5" ht="15" customHeight="1" x14ac:dyDescent="0.25">
      <c r="A32" s="4" t="s">
        <v>72</v>
      </c>
      <c r="B32" s="5" t="s">
        <v>18</v>
      </c>
      <c r="C32" s="5">
        <v>42</v>
      </c>
      <c r="D32" s="6">
        <v>5889.8</v>
      </c>
      <c r="E32" s="6">
        <v>140.23333333333301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 Brutos</vt:lpstr>
      <vt:lpstr>Resumo</vt:lpstr>
      <vt:lpstr>Top Produtos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ORLANDI</cp:lastModifiedBy>
  <cp:revision>0</cp:revision>
  <dcterms:created xsi:type="dcterms:W3CDTF">2026-04-14T18:14:48Z</dcterms:created>
  <dcterms:modified xsi:type="dcterms:W3CDTF">2026-04-16T13:02:22Z</dcterms:modified>
  <dc:language>en-US</dc:language>
</cp:coreProperties>
</file>